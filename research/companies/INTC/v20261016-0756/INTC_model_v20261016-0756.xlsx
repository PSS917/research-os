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INTC Valuation Model｜估值模型 — as of 2026-10-16 07:56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95.37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504135843840</v>
      </c>
      <c r="C3" t="inlineStr">
        <is>
          <t>DATA</t>
        </is>
      </c>
    </row>
    <row r="4">
      <c r="A4" t="inlineStr">
        <is>
          <t>Cash</t>
        </is>
      </c>
      <c r="B4" s="2" t="n">
        <v>29727000576</v>
      </c>
      <c r="C4" t="inlineStr">
        <is>
          <t>DATA</t>
        </is>
      </c>
    </row>
    <row r="5">
      <c r="A5" t="inlineStr">
        <is>
          <t>Debt</t>
        </is>
      </c>
      <c r="B5" s="2" t="n">
        <v>50537000960</v>
      </c>
      <c r="C5" t="inlineStr">
        <is>
          <t>DATA</t>
        </is>
      </c>
    </row>
    <row r="6">
      <c r="A6" t="inlineStr">
        <is>
          <t>RevenueTTM</t>
        </is>
      </c>
      <c r="B6" s="2" t="n">
        <v>57031999488</v>
      </c>
      <c r="C6" t="inlineStr">
        <is>
          <t>DATA</t>
        </is>
      </c>
    </row>
    <row r="7">
      <c r="A7" t="inlineStr">
        <is>
          <t>FCF_TTM</t>
        </is>
      </c>
      <c r="B7" s="2" t="n">
        <v>2831000000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0.0519</v>
      </c>
      <c r="C9" t="inlineStr">
        <is>
          <t>DATA</t>
        </is>
      </c>
    </row>
    <row r="10">
      <c r="A10" t="inlineStr">
        <is>
          <t>Beta</t>
        </is>
      </c>
      <c r="B10" s="2" t="n">
        <v>1.6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0.1476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0.1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Client computing 客户端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Data center &amp; AI 数据中心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Intel Foundry 代工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Altera/Mobileye/other 其他</t>
        </is>
      </c>
      <c r="B5" s="3" t="n"/>
      <c r="C5" s="3" t="n"/>
      <c r="D5">
        <f>IF(AND(ISNUMBER(B5),ISNUMBER(C5)),B5*C5,0)</f>
        <v/>
      </c>
      <c r="E5" t="inlineStr">
        <is>
          <t>INPUT REQUIRED: segment revenue from latest 10-K/10-Q segment note (not auto-fed; left blank to avoid fabrication)</t>
        </is>
      </c>
    </row>
    <row r="6">
      <c r="A6" t="inlineStr">
        <is>
          <t>Total EV</t>
        </is>
      </c>
      <c r="D6">
        <f>SUM(D2:D5)</f>
        <v/>
      </c>
    </row>
    <row r="7">
      <c r="A7" t="inlineStr">
        <is>
          <t>Equity value</t>
        </is>
      </c>
      <c r="D7">
        <f>D6+Inputs!B17</f>
        <v/>
      </c>
    </row>
    <row r="8">
      <c r="A8" t="inlineStr">
        <is>
          <t>Value/share USD</t>
        </is>
      </c>
      <c r="D8">
        <f>D7*Inputs!B8/Inputs!B3*Inputs!B2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AMD</t>
        </is>
      </c>
      <c r="B2" s="2" t="n">
        <v>917826371584</v>
      </c>
      <c r="C2" s="2" t="n">
        <v>908991463424</v>
      </c>
      <c r="D2" s="2" t="n">
        <v>22.007</v>
      </c>
      <c r="E2" s="2" t="n">
        <v>35.685154</v>
      </c>
      <c r="F2" s="2" t="n">
        <v>0.501</v>
      </c>
      <c r="G2" s="2" t="n">
        <v>0.55724</v>
      </c>
      <c r="H2" s="2" t="n">
        <v>0.009633085212774169</v>
      </c>
    </row>
    <row r="3">
      <c r="A3" t="inlineStr">
        <is>
          <t>TSM</t>
        </is>
      </c>
      <c r="B3" s="2" t="n">
        <v>2189988593664</v>
      </c>
      <c r="C3" s="2" t="n">
        <v>15433971269632</v>
      </c>
      <c r="D3" s="2" t="n">
        <v>3.476</v>
      </c>
      <c r="E3" s="2" t="n">
        <v>18.430824</v>
      </c>
      <c r="F3" s="2" t="n">
        <v>0.36</v>
      </c>
      <c r="G3" s="2" t="n">
        <v>0.6423</v>
      </c>
      <c r="H3" s="2" t="n">
        <v>0.3337122471022912</v>
      </c>
    </row>
    <row r="4">
      <c r="A4" t="inlineStr">
        <is>
          <t>ARM</t>
        </is>
      </c>
      <c r="B4" s="2" t="n">
        <v>261435375616</v>
      </c>
      <c r="C4" s="2" t="n">
        <v>258032713728</v>
      </c>
      <c r="D4" s="2" t="n">
        <v>50.045</v>
      </c>
      <c r="E4" s="2" t="n">
        <v>79.92464</v>
      </c>
      <c r="F4" s="2" t="n">
        <v>0.224</v>
      </c>
      <c r="G4" s="2" t="n">
        <v>0.97537005</v>
      </c>
      <c r="H4" s="2" t="n">
        <v>0.005104511831482716</v>
      </c>
    </row>
    <row r="5">
      <c r="A5" t="inlineStr">
        <is>
          <t>NVDA</t>
        </is>
      </c>
      <c r="B5" s="2" t="n">
        <v>5245452681216</v>
      </c>
      <c r="C5" s="2" t="n">
        <v>5211634008064</v>
      </c>
      <c r="D5" s="2" t="n">
        <v>17.202</v>
      </c>
      <c r="E5" s="2" t="n">
        <v>13.64973</v>
      </c>
      <c r="F5" s="2" t="n">
        <v>1.059</v>
      </c>
      <c r="G5" s="2" t="n">
        <v>0.74674004</v>
      </c>
      <c r="H5" s="2" t="n">
        <v>0.007970689563881004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2026-10-16 07:56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-8703000000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87542000000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16128000000</v>
      </c>
      <c r="C2" t="n">
        <v>6509000000</v>
      </c>
      <c r="D2" t="n">
        <v>1966000000</v>
      </c>
      <c r="E2" t="n">
        <v>-11033000000</v>
      </c>
      <c r="F2" t="n">
        <v>7006000000</v>
      </c>
      <c r="G2" t="n">
        <v>-2556000000</v>
      </c>
      <c r="H2" t="n">
        <v>4450000000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13577000000</v>
      </c>
      <c r="C3" t="n">
        <v>5347000000</v>
      </c>
      <c r="D3" t="n">
        <v>934000000</v>
      </c>
      <c r="E3" t="n">
        <v>-3728000000</v>
      </c>
      <c r="F3" t="n">
        <v>1096000000</v>
      </c>
      <c r="G3" t="n">
        <v>-3636000000</v>
      </c>
      <c r="H3" t="n">
        <v>-2540000000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13674000000</v>
      </c>
      <c r="C4" t="n">
        <v>4943000000</v>
      </c>
      <c r="D4" t="n">
        <v>550000000</v>
      </c>
      <c r="E4" t="n">
        <v>-591000000</v>
      </c>
      <c r="F4" t="n">
        <v>4288000000</v>
      </c>
      <c r="G4" t="n">
        <v>-3488000000</v>
      </c>
      <c r="H4" t="n">
        <v>800000000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13653000000</v>
      </c>
      <c r="C5" t="n">
        <v>5218000000</v>
      </c>
      <c r="D5" t="n">
        <v>858000000</v>
      </c>
      <c r="E5" t="n">
        <v>4063000000</v>
      </c>
      <c r="F5" t="n">
        <v>2546000000</v>
      </c>
      <c r="G5" t="n">
        <v>-2425000000</v>
      </c>
      <c r="H5" t="n">
        <v>121000000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12859000000</v>
      </c>
      <c r="C6" t="n">
        <v>3542000000</v>
      </c>
      <c r="D6" t="n">
        <v>-1286000000</v>
      </c>
      <c r="E6" t="n">
        <v>-2918000000</v>
      </c>
      <c r="F6" t="n">
        <v>2050000000</v>
      </c>
      <c r="G6" t="n">
        <v>-3550000000</v>
      </c>
      <c r="H6" t="n">
        <v>-1500000000</v>
      </c>
      <c r="I6">
        <f>IF(B6,C6/B6,"")</f>
        <v/>
      </c>
      <c r="J6">
        <f>IF(B6,D6/B6,"")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95.37</v>
      </c>
      <c r="C2" t="inlineStr">
        <is>
          <t>Yahoo Finance quote, fetched 2026-10-16T07:56 SGT</t>
        </is>
      </c>
    </row>
    <row r="3">
      <c r="A3" t="inlineStr">
        <is>
          <t>Market cap 市值</t>
        </is>
      </c>
      <c r="B3" t="n">
        <v>504135843840</v>
      </c>
      <c r="C3" t="inlineStr">
        <is>
          <t>Yahoo info.marketCap 2026-10-16T07:56</t>
        </is>
      </c>
    </row>
    <row r="4">
      <c r="A4" t="inlineStr">
        <is>
          <t>Cash 现金</t>
        </is>
      </c>
      <c r="B4" t="n">
        <v>29727000576</v>
      </c>
      <c r="C4" t="inlineStr">
        <is>
          <t>Yahoo info.totalCash (latest filing) 2026-10-16T07:56</t>
        </is>
      </c>
    </row>
    <row r="5">
      <c r="A5" t="inlineStr">
        <is>
          <t>Debt 负债</t>
        </is>
      </c>
      <c r="B5" t="n">
        <v>50537000960</v>
      </c>
      <c r="C5" t="inlineStr">
        <is>
          <t>Yahoo info.totalDebt (latest filing) 2026-10-16T07:56</t>
        </is>
      </c>
    </row>
    <row r="6">
      <c r="A6" t="inlineStr">
        <is>
          <t>Revenue TTM 收入</t>
        </is>
      </c>
      <c r="B6" t="n">
        <v>57031999488</v>
      </c>
      <c r="C6" t="inlineStr">
        <is>
          <t>Yahoo info.totalRevenue (TTM, USD) 2026-10-16T07:56</t>
        </is>
      </c>
    </row>
    <row r="7">
      <c r="A7" t="inlineStr">
        <is>
          <t>FCF TTM 自由现金流</t>
        </is>
      </c>
      <c r="B7" t="n">
        <v>2831000000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2.23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0.0519</v>
      </c>
      <c r="C9" t="inlineStr">
        <is>
          <t>FRED DGS10 2026-10-14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0.19440001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0.1476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1.60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0.1476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0.0496387997162131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0.1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2026-10-15T23:57:32Z</dcterms:created>
  <dcterms:modified xmlns:dcterms="http://purl.org/dc/terms/" xmlns:xsi="http://www.w3.org/2001/XMLSchema-instance" xsi:type="dcterms:W3CDTF">2026-10-15T23:57:32Z</dcterms:modified>
</cp:coreProperties>
</file>