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CIEN Valuation Model｜估值模型 — as of 2026-10-16 07:56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356.52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50557575168</v>
      </c>
      <c r="C3" t="inlineStr">
        <is>
          <t>DATA</t>
        </is>
      </c>
    </row>
    <row r="4">
      <c r="A4" t="inlineStr">
        <is>
          <t>Cash</t>
        </is>
      </c>
      <c r="B4" s="2" t="n">
        <v>2630000896</v>
      </c>
      <c r="C4" t="inlineStr">
        <is>
          <t>DATA</t>
        </is>
      </c>
    </row>
    <row r="5">
      <c r="A5" t="inlineStr">
        <is>
          <t>Debt</t>
        </is>
      </c>
      <c r="B5" s="2" t="n">
        <v>3285876992</v>
      </c>
      <c r="C5" t="inlineStr">
        <is>
          <t>DATA</t>
        </is>
      </c>
    </row>
    <row r="6">
      <c r="A6" t="inlineStr">
        <is>
          <t>RevenueTTM</t>
        </is>
      </c>
      <c r="B6" s="2" t="n">
        <v>6020894208</v>
      </c>
      <c r="C6" t="inlineStr">
        <is>
          <t>DATA</t>
        </is>
      </c>
    </row>
    <row r="7">
      <c r="A7" t="inlineStr">
        <is>
          <t>FCF_TTM</t>
        </is>
      </c>
      <c r="B7" s="2" t="n">
        <v>814362000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0.0519</v>
      </c>
      <c r="C9" t="inlineStr">
        <is>
          <t>DATA</t>
        </is>
      </c>
    </row>
    <row r="10">
      <c r="A10" t="inlineStr">
        <is>
          <t>Beta</t>
        </is>
      </c>
      <c r="B10" s="2" t="n">
        <v>1.289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0.3093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Networking platforms 网络平台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Platform software &amp; services 软件服务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Blue Planet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COHR</t>
        </is>
      </c>
      <c r="B2" s="2" t="n">
        <v>49350950912</v>
      </c>
      <c r="C2" s="2" t="n">
        <v>50972913664</v>
      </c>
      <c r="D2" s="2" t="n">
        <v>7.161</v>
      </c>
      <c r="E2" s="2" t="n">
        <v>17.831795</v>
      </c>
      <c r="F2" s="2" t="n">
        <v>0.337</v>
      </c>
      <c r="G2" s="2" t="n">
        <v>0.37495998</v>
      </c>
      <c r="H2" s="2" t="n">
        <v>-0.01317059995782073</v>
      </c>
    </row>
    <row r="3">
      <c r="A3" t="inlineStr">
        <is>
          <t>LITE</t>
        </is>
      </c>
      <c r="B3" s="2" t="n">
        <v>78765416448</v>
      </c>
      <c r="C3" s="2" t="n">
        <v>76930539520</v>
      </c>
      <c r="D3" s="2" t="n">
        <v>25.524</v>
      </c>
      <c r="E3" s="2" t="n">
        <v>24.13941</v>
      </c>
      <c r="F3" s="2" t="n">
        <v>1.093</v>
      </c>
      <c r="G3" s="2" t="n">
        <v>0.44244</v>
      </c>
      <c r="H3" s="2" t="n">
        <v>0.002852774861519894</v>
      </c>
    </row>
    <row r="4">
      <c r="A4" t="inlineStr">
        <is>
          <t>NOK</t>
        </is>
      </c>
      <c r="B4" s="2" t="n">
        <v>53579026432</v>
      </c>
      <c r="C4" s="2" t="n">
        <v>51905028096</v>
      </c>
      <c r="D4" s="2" t="n">
        <v>2.545</v>
      </c>
      <c r="E4" s="2" t="n">
        <v>19.828444</v>
      </c>
      <c r="F4" s="2" t="n">
        <v>0.08400000000000001</v>
      </c>
      <c r="G4" s="2" t="n">
        <v>0.45504</v>
      </c>
      <c r="H4" s="2" t="n">
        <v>0.02207720234523577</v>
      </c>
    </row>
    <row r="5">
      <c r="A5" t="inlineStr">
        <is>
          <t>CSCO</t>
        </is>
      </c>
      <c r="B5" s="2" t="n">
        <v>433093148672</v>
      </c>
      <c r="C5" s="2" t="n">
        <v>448360153088</v>
      </c>
      <c r="D5" s="2" t="n">
        <v>7.08</v>
      </c>
      <c r="E5" s="2" t="n">
        <v>19.539206</v>
      </c>
      <c r="F5" s="2" t="n">
        <v>0.176</v>
      </c>
      <c r="G5" s="2" t="n">
        <v>0.64524</v>
      </c>
      <c r="H5" s="2" t="n">
        <v>0.02582036867193455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2026-10-16 07:56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796742000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3056738000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2026-07-31</t>
        </is>
      </c>
      <c r="B2" t="n">
        <v>1671129000</v>
      </c>
      <c r="C2" t="n">
        <v>759265000</v>
      </c>
      <c r="D2" t="n">
        <v>302066000</v>
      </c>
      <c r="E2" t="n">
        <v>266418000</v>
      </c>
      <c r="F2" t="n">
        <v>196259000</v>
      </c>
      <c r="G2" t="n">
        <v>-79960000</v>
      </c>
      <c r="H2" t="n">
        <v>116299000</v>
      </c>
      <c r="I2">
        <f>IF(B2,C2/B2,"")</f>
        <v/>
      </c>
      <c r="J2">
        <f>IF(B2,D2/B2,"")</f>
        <v/>
      </c>
    </row>
    <row r="3">
      <c r="A3" t="inlineStr">
        <is>
          <t>2026-04-30</t>
        </is>
      </c>
      <c r="B3" t="n">
        <v>1570739000</v>
      </c>
      <c r="C3" t="n">
        <v>691554000</v>
      </c>
      <c r="D3" t="n">
        <v>238676000</v>
      </c>
      <c r="E3" t="n">
        <v>218220000</v>
      </c>
      <c r="F3" t="n">
        <v>259702000</v>
      </c>
      <c r="G3" t="n">
        <v>-41048000</v>
      </c>
      <c r="H3" t="n">
        <v>218654000</v>
      </c>
      <c r="I3">
        <f>IF(B3,C3/B3,"")</f>
        <v/>
      </c>
      <c r="J3">
        <f>IF(B3,D3/B3,"")</f>
        <v/>
      </c>
    </row>
    <row r="4">
      <c r="A4" t="inlineStr">
        <is>
          <t>2026-01-31</t>
        </is>
      </c>
      <c r="B4" t="n">
        <v>1427042000</v>
      </c>
      <c r="C4" t="n">
        <v>625520000</v>
      </c>
      <c r="D4" t="n">
        <v>191216000</v>
      </c>
      <c r="E4" t="n">
        <v>150283000</v>
      </c>
      <c r="F4" t="n">
        <v>227645000</v>
      </c>
      <c r="G4" t="n">
        <v>-73885000</v>
      </c>
      <c r="H4" t="n">
        <v>153760000</v>
      </c>
      <c r="I4">
        <f>IF(B4,C4/B4,"")</f>
        <v/>
      </c>
      <c r="J4">
        <f>IF(B4,D4/B4,"")</f>
        <v/>
      </c>
    </row>
    <row r="5">
      <c r="A5" t="inlineStr">
        <is>
          <t>2025-10-31</t>
        </is>
      </c>
      <c r="B5" t="n">
        <v>1351984000</v>
      </c>
      <c r="C5" t="n">
        <v>577179000</v>
      </c>
      <c r="D5" t="n">
        <v>118490000</v>
      </c>
      <c r="E5" t="n">
        <v>19489000</v>
      </c>
      <c r="F5" t="n">
        <v>371077000</v>
      </c>
      <c r="G5" t="n">
        <v>-45428000</v>
      </c>
      <c r="H5" t="n">
        <v>325649000</v>
      </c>
      <c r="I5">
        <f>IF(B5,C5/B5,"")</f>
        <v/>
      </c>
      <c r="J5">
        <f>IF(B5,D5/B5,"")</f>
        <v/>
      </c>
    </row>
    <row r="6">
      <c r="A6" t="inlineStr">
        <is>
          <t>2025-07-31</t>
        </is>
      </c>
      <c r="B6" t="n">
        <v>1219385000</v>
      </c>
      <c r="C6" t="n">
        <v>503079000</v>
      </c>
      <c r="D6" t="n">
        <v>75305000</v>
      </c>
      <c r="E6" t="n">
        <v>50308000</v>
      </c>
      <c r="F6" t="n">
        <v>174347000</v>
      </c>
      <c r="G6" t="n">
        <v>-39751000</v>
      </c>
      <c r="H6" t="n">
        <v>134596000</v>
      </c>
      <c r="I6">
        <f>IF(B6,C6/B6,"")</f>
        <v/>
      </c>
      <c r="J6">
        <f>IF(B6,D6/B6,"")</f>
        <v/>
      </c>
    </row>
    <row r="7">
      <c r="A7" t="inlineStr">
        <is>
          <t>2025-04-30</t>
        </is>
      </c>
      <c r="I7">
        <f>IF(B7,C7/B7,"")</f>
        <v/>
      </c>
      <c r="J7">
        <f>IF(B7,D7/B7,"")</f>
        <v/>
      </c>
    </row>
    <row r="8">
      <c r="A8" t="inlineStr">
        <is>
          <t>2025-01-31</t>
        </is>
      </c>
      <c r="I8">
        <f>IF(B8,C8/B8,"")</f>
        <v/>
      </c>
      <c r="J8">
        <f>IF(B8,D8/B8,"")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356.52</v>
      </c>
      <c r="C2" t="inlineStr">
        <is>
          <t>Yahoo Finance quote, fetched 2026-10-16T07:56 SGT</t>
        </is>
      </c>
    </row>
    <row r="3">
      <c r="A3" t="inlineStr">
        <is>
          <t>Market cap 市值</t>
        </is>
      </c>
      <c r="B3" t="n">
        <v>50557575168</v>
      </c>
      <c r="C3" t="inlineStr">
        <is>
          <t>Yahoo info.marketCap 2026-10-16T07:56</t>
        </is>
      </c>
    </row>
    <row r="4">
      <c r="A4" t="inlineStr">
        <is>
          <t>Cash 现金</t>
        </is>
      </c>
      <c r="B4" t="n">
        <v>2630000896</v>
      </c>
      <c r="C4" t="inlineStr">
        <is>
          <t>Yahoo info.totalCash (latest filing) 2026-10-16T07:56</t>
        </is>
      </c>
    </row>
    <row r="5">
      <c r="A5" t="inlineStr">
        <is>
          <t>Debt 负债</t>
        </is>
      </c>
      <c r="B5" t="n">
        <v>3285876992</v>
      </c>
      <c r="C5" t="inlineStr">
        <is>
          <t>Yahoo info.totalDebt (latest filing) 2026-10-16T07:56</t>
        </is>
      </c>
    </row>
    <row r="6">
      <c r="A6" t="inlineStr">
        <is>
          <t>Revenue TTM 收入</t>
        </is>
      </c>
      <c r="B6" t="n">
        <v>6020894208</v>
      </c>
      <c r="C6" t="inlineStr">
        <is>
          <t>Yahoo info.totalRevenue (TTM, USD) 2026-10-16T07:56</t>
        </is>
      </c>
    </row>
    <row r="7">
      <c r="A7" t="inlineStr">
        <is>
          <t>FCF TTM 自由现金流</t>
        </is>
      </c>
      <c r="B7" t="n">
        <v>814362000</v>
      </c>
      <c r="C7" t="inlineStr">
        <is>
          <t>Sum of last 4 quarterly FCF (q_cash); quarters ['2026-07-31', '2026-04-30', '2026-01-31', '2025-10-31'] (USD)</t>
        </is>
      </c>
    </row>
    <row r="8">
      <c r="A8" t="inlineStr">
        <is>
          <t>Beta</t>
        </is>
      </c>
      <c r="B8" t="n">
        <v>1.289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0.0519</v>
      </c>
      <c r="C9" t="inlineStr">
        <is>
          <t>FRED DGS10 2026-10-14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0.3468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0.3093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1.29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0.3093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0.1352559888725419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2026-10-15T23:57:36Z</dcterms:created>
  <dcterms:modified xmlns:dcterms="http://purl.org/dc/terms/" xmlns:xsi="http://www.w3.org/2001/XMLSchema-instance" xsi:type="dcterms:W3CDTF">2026-10-15T23:57:36Z</dcterms:modified>
</cp:coreProperties>
</file>