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CRWV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80.26000000000001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44266328064</v>
      </c>
      <c r="C3" t="inlineStr">
        <is>
          <t>DATA</t>
        </is>
      </c>
    </row>
    <row r="4">
      <c r="A4" t="inlineStr">
        <is>
          <t>Cash</t>
        </is>
      </c>
      <c r="B4" s="2" t="n">
        <v>5538999808</v>
      </c>
      <c r="C4" t="inlineStr">
        <is>
          <t>DATA</t>
        </is>
      </c>
    </row>
    <row r="5">
      <c r="A5" t="inlineStr">
        <is>
          <t>Debt</t>
        </is>
      </c>
      <c r="B5" s="2" t="n">
        <v>51612999680</v>
      </c>
      <c r="C5" t="inlineStr">
        <is>
          <t>DATA</t>
        </is>
      </c>
    </row>
    <row r="6">
      <c r="A6" t="inlineStr">
        <is>
          <t>RevenueTTM</t>
        </is>
      </c>
      <c r="B6" s="2" t="n">
        <v>7590000128</v>
      </c>
      <c r="C6" t="inlineStr">
        <is>
          <t>DATA</t>
        </is>
      </c>
    </row>
    <row r="7">
      <c r="A7" t="inlineStr">
        <is>
          <t>FCF_TTM</t>
        </is>
      </c>
      <c r="B7" s="2" t="n">
        <v>-13655000000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GPU cloud services GPU云服务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Total EV</t>
        </is>
      </c>
      <c r="D3">
        <f>SUM(D2:D2)</f>
        <v/>
      </c>
    </row>
    <row r="4">
      <c r="A4" t="inlineStr">
        <is>
          <t>Equity value</t>
        </is>
      </c>
      <c r="D4">
        <f>D3+Inputs!B17</f>
        <v/>
      </c>
    </row>
    <row r="5">
      <c r="A5" t="inlineStr">
        <is>
          <t>Value/share USD</t>
        </is>
      </c>
      <c r="D5">
        <f>D4*Inputs!B8/Inputs!B3*Inputs!B2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NBIS</t>
        </is>
      </c>
      <c r="B2" s="2" t="n">
        <v>57105907712</v>
      </c>
      <c r="C2" s="2" t="n">
        <v>59731402752</v>
      </c>
      <c r="D2" s="2" t="n">
        <v>44.079</v>
      </c>
      <c r="E2" s="2" t="n">
        <v>-59.038616</v>
      </c>
      <c r="F2" s="2" t="n">
        <v>4.54</v>
      </c>
      <c r="G2" s="2" t="n">
        <v>0.7426</v>
      </c>
      <c r="H2" s="2" t="n">
        <v>-0.1683652489421794</v>
      </c>
    </row>
    <row r="3">
      <c r="A3" t="inlineStr">
        <is>
          <t>ORCL</t>
        </is>
      </c>
      <c r="B3" s="2" t="n">
        <v>416497926144</v>
      </c>
      <c r="C3" s="2" t="n">
        <v>552875065344</v>
      </c>
      <c r="D3" s="2" t="n">
        <v>7.703</v>
      </c>
      <c r="E3" s="2" t="n">
        <v>12.491147</v>
      </c>
      <c r="F3" s="2" t="n">
        <v>0.296</v>
      </c>
      <c r="G3" s="2" t="n">
        <v>0.63957</v>
      </c>
      <c r="H3" s="2" t="n">
        <v>-0.1100932885609293</v>
      </c>
    </row>
    <row r="4">
      <c r="A4" t="inlineStr">
        <is>
          <t>NVDA</t>
        </is>
      </c>
      <c r="B4" s="2" t="n">
        <v>5464948998144</v>
      </c>
      <c r="C4" s="2" t="n">
        <v>5430703030272</v>
      </c>
      <c r="D4" s="2" t="n">
        <v>17.925</v>
      </c>
      <c r="E4" s="2" t="n">
        <v>14.220904</v>
      </c>
      <c r="F4" s="2" t="n">
        <v>1.059</v>
      </c>
      <c r="G4" s="2" t="n">
        <v>0.74674004</v>
      </c>
      <c r="H4" s="2" t="n">
        <v>0.007650551717536509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-49462000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5024000000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2575000000</v>
      </c>
      <c r="C2" t="n">
        <v>1696000000</v>
      </c>
      <c r="D2" t="n">
        <v>-49000000</v>
      </c>
      <c r="E2" t="n">
        <v>-626000000</v>
      </c>
      <c r="F2" t="n">
        <v>679000000</v>
      </c>
      <c r="G2" t="n">
        <v>-6422000000</v>
      </c>
      <c r="H2" t="n">
        <v>-5743000000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2078000000</v>
      </c>
      <c r="C3" t="n">
        <v>1362000000</v>
      </c>
      <c r="D3" t="n">
        <v>-144000000</v>
      </c>
      <c r="E3" t="n">
        <v>-740000000</v>
      </c>
      <c r="F3" t="n">
        <v>2984000000</v>
      </c>
      <c r="G3" t="n">
        <v>-7695000000</v>
      </c>
      <c r="H3" t="n">
        <v>-4711000000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1571904000</v>
      </c>
      <c r="C4" t="n">
        <v>1062789000</v>
      </c>
      <c r="D4" t="n">
        <v>-89589000</v>
      </c>
      <c r="E4" t="n">
        <v>-451726000</v>
      </c>
      <c r="F4" t="n">
        <v>1558949000</v>
      </c>
      <c r="G4" t="n">
        <v>-4059761000</v>
      </c>
      <c r="H4" t="n">
        <v>-2500812000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1364676000</v>
      </c>
      <c r="C5" t="n">
        <v>995852000</v>
      </c>
      <c r="D5" t="n">
        <v>51850000</v>
      </c>
      <c r="E5" t="n">
        <v>-110124000</v>
      </c>
      <c r="F5" t="n">
        <v>1689051000</v>
      </c>
      <c r="G5" t="n">
        <v>-2389239000</v>
      </c>
      <c r="H5" t="n">
        <v>-700188000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1212000000</v>
      </c>
      <c r="C6" t="n">
        <v>899000000</v>
      </c>
      <c r="D6" t="n">
        <v>19000000</v>
      </c>
      <c r="E6" t="n">
        <v>-290000000</v>
      </c>
      <c r="F6" t="n">
        <v>-251000000</v>
      </c>
      <c r="G6" t="n">
        <v>-2453000000</v>
      </c>
      <c r="H6" t="n">
        <v>-2704000000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80.26000000000001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44266328064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5538999808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51612999680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7590000128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-13655000000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1.3</v>
      </c>
      <c r="C8" t="inlineStr">
        <is>
          <t>ASSUMPTION (no beta history; recent IPO) = 1.3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1.5082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1.0432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1.30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2026-10-13T08:23:11Z</dcterms:created>
  <dcterms:modified xmlns:dcterms="http://purl.org/dc/terms/" xmlns:xsi="http://www.w3.org/2001/XMLSchema-instance" xsi:type="dcterms:W3CDTF">2026-10-13T08:23:11Z</dcterms:modified>
</cp:coreProperties>
</file>