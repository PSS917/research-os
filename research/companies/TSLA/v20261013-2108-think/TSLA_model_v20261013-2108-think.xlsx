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TSLA Valuation Model｜估值模型 — as of 2026-10-13 18:12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378.03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1493047443456</v>
      </c>
      <c r="C3" t="inlineStr">
        <is>
          <t>DATA</t>
        </is>
      </c>
    </row>
    <row r="4">
      <c r="A4" t="inlineStr">
        <is>
          <t>Cash</t>
        </is>
      </c>
      <c r="B4" s="2" t="n">
        <v>43524001792</v>
      </c>
      <c r="C4" t="inlineStr">
        <is>
          <t>DATA</t>
        </is>
      </c>
    </row>
    <row r="5">
      <c r="A5" t="inlineStr">
        <is>
          <t>Debt</t>
        </is>
      </c>
      <c r="B5" s="2" t="n">
        <v>16080000000</v>
      </c>
      <c r="C5" t="inlineStr">
        <is>
          <t>DATA</t>
        </is>
      </c>
    </row>
    <row r="6">
      <c r="A6" t="inlineStr">
        <is>
          <t>RevenueTTM</t>
        </is>
      </c>
      <c r="B6" s="2" t="n">
        <v>103619002368</v>
      </c>
      <c r="C6" t="inlineStr">
        <is>
          <t>DATA</t>
        </is>
      </c>
    </row>
    <row r="7">
      <c r="A7" t="inlineStr">
        <is>
          <t>FCF_TTM</t>
        </is>
      </c>
      <c r="B7" s="2" t="n">
        <v>5755000000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0.1362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Automotive 汽车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Energy storage 储能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Services &amp; other 服务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FSD/Robotaxi option 自动驾驶期权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Optimus option 人形机器人期权</t>
        </is>
      </c>
      <c r="B6" s="3" t="n"/>
      <c r="C6" s="3" t="n"/>
      <c r="D6">
        <f>IF(AND(ISNUMBER(B6),ISNUMBER(C6)),B6*C6,0)</f>
        <v/>
      </c>
      <c r="E6" t="inlineStr">
        <is>
          <t>INPUT REQUIRED: segment revenue from latest 10-K/10-Q segment note (not auto-fed; left blank to avoid fabrication)</t>
        </is>
      </c>
    </row>
    <row r="7">
      <c r="A7" t="inlineStr">
        <is>
          <t>Total EV</t>
        </is>
      </c>
      <c r="D7">
        <f>SUM(D2:D6)</f>
        <v/>
      </c>
    </row>
    <row r="8">
      <c r="A8" t="inlineStr">
        <is>
          <t>Equity value</t>
        </is>
      </c>
      <c r="D8">
        <f>D7+Inputs!B17</f>
        <v/>
      </c>
    </row>
    <row r="9">
      <c r="A9" t="inlineStr">
        <is>
          <t>Value/share USD</t>
        </is>
      </c>
      <c r="D9">
        <f>D8*Inputs!B8/Inputs!B3*Inputs!B2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BYDDY</t>
        </is>
      </c>
      <c r="B2" s="2" t="n">
        <v>85610487808</v>
      </c>
      <c r="C2" s="2" t="n">
        <v>95087157248</v>
      </c>
      <c r="D2" s="2" t="n">
        <v>0.122</v>
      </c>
      <c r="E2" s="2" t="n">
        <v>11.426277</v>
      </c>
      <c r="F2" s="2" t="n">
        <v>-0.032</v>
      </c>
      <c r="G2" s="2" t="n">
        <v>0.17898001</v>
      </c>
      <c r="H2" s="2" t="n">
        <v>-1.124907336960656</v>
      </c>
    </row>
    <row r="3">
      <c r="A3" t="inlineStr">
        <is>
          <t>GM</t>
        </is>
      </c>
      <c r="B3" s="2" t="n">
        <v>72275681280</v>
      </c>
      <c r="C3" s="2" t="n">
        <v>177969676288</v>
      </c>
      <c r="D3" s="2" t="n">
        <v>0.959</v>
      </c>
      <c r="E3" s="2" t="n">
        <v>5.449759</v>
      </c>
      <c r="F3" s="2" t="n">
        <v>0.019</v>
      </c>
      <c r="G3" s="2" t="n">
        <v>0.10177</v>
      </c>
      <c r="H3" s="2" t="n">
        <v>0.3034734489326698</v>
      </c>
    </row>
    <row r="4">
      <c r="A4" t="inlineStr">
        <is>
          <t>RIVN</t>
        </is>
      </c>
      <c r="B4" s="2" t="n">
        <v>19604033536</v>
      </c>
      <c r="C4" s="2" t="n">
        <v>19668033536</v>
      </c>
      <c r="D4" s="2" t="n">
        <v>3.343</v>
      </c>
      <c r="E4" s="2" t="n">
        <v>-7.796934</v>
      </c>
      <c r="F4" s="2" t="n">
        <v>0.272</v>
      </c>
      <c r="G4" s="2" t="n">
        <v>0.07513</v>
      </c>
      <c r="H4" s="2" t="n">
        <v>-0.07852338005712745</v>
      </c>
    </row>
    <row r="5">
      <c r="A5" t="inlineStr">
        <is>
          <t>UBER</t>
        </is>
      </c>
      <c r="B5" s="2" t="n">
        <v>146043043840</v>
      </c>
      <c r="C5" s="2" t="n">
        <v>156466053120</v>
      </c>
      <c r="D5" s="2" t="n">
        <v>2.833</v>
      </c>
      <c r="E5" s="2" t="n">
        <v>16.194681</v>
      </c>
      <c r="F5" s="2" t="n">
        <v>0.122</v>
      </c>
      <c r="G5" s="2" t="n">
        <v>0.40752</v>
      </c>
      <c r="H5" s="2" t="n">
        <v>0.04960694897551651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2026-10-13 18:12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5551000000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86858000000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28236000000</v>
      </c>
      <c r="C2" t="n">
        <v>4751000000</v>
      </c>
      <c r="D2" t="n">
        <v>398000000</v>
      </c>
      <c r="E2" t="n">
        <v>1114000000</v>
      </c>
      <c r="F2" t="n">
        <v>4697000000</v>
      </c>
      <c r="G2" t="n">
        <v>-5796000000</v>
      </c>
      <c r="H2" t="n">
        <v>-1099000000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22387000000</v>
      </c>
      <c r="C3" t="n">
        <v>4720000000</v>
      </c>
      <c r="D3" t="n">
        <v>941000000</v>
      </c>
      <c r="E3" t="n">
        <v>477000000</v>
      </c>
      <c r="F3" t="n">
        <v>3937000000</v>
      </c>
      <c r="G3" t="n">
        <v>-2493000000</v>
      </c>
      <c r="H3" t="n">
        <v>1444000000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24901000000</v>
      </c>
      <c r="C4" t="n">
        <v>5009000000</v>
      </c>
      <c r="D4" t="n">
        <v>1571000000</v>
      </c>
      <c r="E4" t="n">
        <v>840000000</v>
      </c>
      <c r="F4" t="n">
        <v>3813000000</v>
      </c>
      <c r="G4" t="n">
        <v>-2393000000</v>
      </c>
      <c r="H4" t="n">
        <v>1420000000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28095000000</v>
      </c>
      <c r="C5" t="n">
        <v>5054000000</v>
      </c>
      <c r="D5" t="n">
        <v>1862000000</v>
      </c>
      <c r="E5" t="n">
        <v>1373000000</v>
      </c>
      <c r="F5" t="n">
        <v>6238000000</v>
      </c>
      <c r="G5" t="n">
        <v>-2248000000</v>
      </c>
      <c r="H5" t="n">
        <v>3990000000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22496000000</v>
      </c>
      <c r="C6" t="n">
        <v>3878000000</v>
      </c>
      <c r="D6" t="n">
        <v>923000000</v>
      </c>
      <c r="E6" t="n">
        <v>1172000000</v>
      </c>
      <c r="F6" t="n">
        <v>2540000000</v>
      </c>
      <c r="G6" t="n">
        <v>-2394000000</v>
      </c>
      <c r="H6" t="n">
        <v>146000000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378.03</v>
      </c>
      <c r="C2" t="inlineStr">
        <is>
          <t>Yahoo Finance quote, fetched 2026-10-13T18:12 SGT</t>
        </is>
      </c>
    </row>
    <row r="3">
      <c r="A3" t="inlineStr">
        <is>
          <t>Market cap 市值</t>
        </is>
      </c>
      <c r="B3" t="n">
        <v>1493047443456</v>
      </c>
      <c r="C3" t="inlineStr">
        <is>
          <t>Yahoo info.marketCap 2026-10-13T18:12</t>
        </is>
      </c>
    </row>
    <row r="4">
      <c r="A4" t="inlineStr">
        <is>
          <t>Cash 现金</t>
        </is>
      </c>
      <c r="B4" t="n">
        <v>43524001792</v>
      </c>
      <c r="C4" t="inlineStr">
        <is>
          <t>Yahoo info.totalCash (latest filing) 2026-10-13T18:12</t>
        </is>
      </c>
    </row>
    <row r="5">
      <c r="A5" t="inlineStr">
        <is>
          <t>Debt 负债</t>
        </is>
      </c>
      <c r="B5" t="n">
        <v>16080000000</v>
      </c>
      <c r="C5" t="inlineStr">
        <is>
          <t>Yahoo info.totalDebt (latest filing) 2026-10-13T18:12</t>
        </is>
      </c>
    </row>
    <row r="6">
      <c r="A6" t="inlineStr">
        <is>
          <t>Revenue TTM 收入</t>
        </is>
      </c>
      <c r="B6" t="n">
        <v>103619002368</v>
      </c>
      <c r="C6" t="inlineStr">
        <is>
          <t>Yahoo info.totalRevenue (TTM, USD) 2026-10-13T18:12</t>
        </is>
      </c>
    </row>
    <row r="7">
      <c r="A7" t="inlineStr">
        <is>
          <t>FCF TTM 自由现金流</t>
        </is>
      </c>
      <c r="B7" t="n">
        <v>5755000000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1.916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0.1297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0.1362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0.1362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0.05554000587229433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2026-10-13T10:12:36Z</dcterms:created>
  <dcterms:modified xmlns:dcterms="http://purl.org/dc/terms/" xmlns:xsi="http://www.w3.org/2001/XMLSchema-instance" xsi:type="dcterms:W3CDTF">2026-10-13T10:12:36Z</dcterms:modified>
</cp:coreProperties>
</file>