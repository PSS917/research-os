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CCL Valuation Model｜估值模型 — as of 2026-10-13 16:22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26.48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35605278720</v>
      </c>
      <c r="C3" t="inlineStr">
        <is>
          <t>DATA</t>
        </is>
      </c>
    </row>
    <row r="4">
      <c r="A4" t="inlineStr">
        <is>
          <t>Cash</t>
        </is>
      </c>
      <c r="B4" s="2" t="n">
        <v>1220000000</v>
      </c>
      <c r="C4" t="inlineStr">
        <is>
          <t>DATA</t>
        </is>
      </c>
    </row>
    <row r="5">
      <c r="A5" t="inlineStr">
        <is>
          <t>Debt</t>
        </is>
      </c>
      <c r="B5" s="2" t="n">
        <v>25162000384</v>
      </c>
      <c r="C5" t="inlineStr">
        <is>
          <t>DATA</t>
        </is>
      </c>
    </row>
    <row r="6">
      <c r="A6" t="inlineStr">
        <is>
          <t>RevenueTTM</t>
        </is>
      </c>
      <c r="B6" s="2" t="n">
        <v>27593000960</v>
      </c>
      <c r="C6" t="inlineStr">
        <is>
          <t>DATA</t>
        </is>
      </c>
    </row>
    <row r="7">
      <c r="A7" t="inlineStr">
        <is>
          <t>FCF_TTM</t>
        </is>
      </c>
      <c r="B7" s="2" t="n">
        <v>3200000000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0.0522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0.0312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North America &amp; Australia 北美澳洲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Europe 欧洲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Total EV</t>
        </is>
      </c>
      <c r="D4">
        <f>SUM(D2:D3)</f>
        <v/>
      </c>
    </row>
    <row r="5">
      <c r="A5" t="inlineStr">
        <is>
          <t>Equity value</t>
        </is>
      </c>
      <c r="D5">
        <f>D4+Inputs!B17</f>
        <v/>
      </c>
    </row>
    <row r="6">
      <c r="A6" t="inlineStr">
        <is>
          <t>Value/share USD</t>
        </is>
      </c>
      <c r="D6">
        <f>D5*Inputs!B8/Inputs!B3*Inputs!B2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RCL</t>
        </is>
      </c>
      <c r="B2" s="2" t="n">
        <v>75065778176</v>
      </c>
      <c r="C2" s="2" t="n">
        <v>97932779520</v>
      </c>
      <c r="D2" s="2" t="n">
        <v>5.242</v>
      </c>
      <c r="E2" s="2" t="n">
        <v>13.765237</v>
      </c>
      <c r="F2" s="2" t="n">
        <v>0.065</v>
      </c>
      <c r="G2" s="2" t="n">
        <v>0.50284</v>
      </c>
      <c r="H2" s="2" t="n">
        <v>-0.02019895111784473</v>
      </c>
    </row>
    <row r="3">
      <c r="A3" t="inlineStr">
        <is>
          <t>NCLH</t>
        </is>
      </c>
      <c r="B3" s="2" t="n">
        <v>7048533504</v>
      </c>
      <c r="C3" s="2" t="n">
        <v>22809251840</v>
      </c>
      <c r="D3" s="2" t="n">
        <v>2.246</v>
      </c>
      <c r="E3" s="2" t="n">
        <v>9.515957</v>
      </c>
      <c r="F3" s="2" t="n">
        <v>0.049</v>
      </c>
      <c r="G3" s="2" t="n">
        <v>0.42457</v>
      </c>
      <c r="H3" s="2" t="n">
        <v>-0.2383902000389782</v>
      </c>
    </row>
    <row r="4">
      <c r="A4" t="inlineStr">
        <is>
          <t>VIK</t>
        </is>
      </c>
      <c r="B4" s="2" t="n">
        <v>36074958848</v>
      </c>
      <c r="C4" s="2" t="n">
        <v>38298402816</v>
      </c>
      <c r="D4" s="2" t="n">
        <v>5.496</v>
      </c>
      <c r="E4" s="2" t="n">
        <v>18.46758</v>
      </c>
      <c r="F4" s="2" t="n">
        <v>0.165</v>
      </c>
      <c r="G4" s="2" t="n">
        <v>0.44276002</v>
      </c>
      <c r="H4" s="2" t="n">
        <v>0.01124917796053143</v>
      </c>
    </row>
    <row r="5">
      <c r="A5" t="inlineStr">
        <is>
          <t>Peer median (ex-subject)</t>
        </is>
      </c>
      <c r="D5">
        <f>MEDIAN(D3:D4)</f>
        <v/>
      </c>
      <c r="E5">
        <f>MEDIAN(E3:E4)</f>
        <v/>
      </c>
      <c r="F5">
        <f>MEDIAN(F3:F4)</f>
        <v/>
      </c>
      <c r="G5">
        <f>MEDIAN(G3:G4)</f>
        <v/>
      </c>
      <c r="H5">
        <f>MEDIAN(H3:H4)</f>
        <v/>
      </c>
    </row>
    <row r="7">
      <c r="A7" t="inlineStr">
        <is>
          <t>Source: Yahoo Finance info fields (enterpriseToRevenue, forwardPE, revenueGrowth, grossMargins, freeCashflow/marketCap), fetched 2026-10-13 16:22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4304000000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12967000000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2026-05-31</t>
        </is>
      </c>
      <c r="B2" t="n">
        <v>6663000000</v>
      </c>
      <c r="C2" t="n">
        <v>2438000000</v>
      </c>
      <c r="D2" t="n">
        <v>852000000</v>
      </c>
      <c r="E2" t="n">
        <v>537000000</v>
      </c>
      <c r="F2" t="n">
        <v>2630000000</v>
      </c>
      <c r="G2" t="n">
        <v>-875000000</v>
      </c>
      <c r="H2" t="n">
        <v>1755000000</v>
      </c>
      <c r="I2">
        <f>IF(B2,C2/B2,"")</f>
        <v/>
      </c>
      <c r="J2">
        <f>IF(B2,D2/B2,"")</f>
        <v/>
      </c>
    </row>
    <row r="3">
      <c r="A3" t="inlineStr">
        <is>
          <t>2026-02-28</t>
        </is>
      </c>
      <c r="B3" t="n">
        <v>6165000000</v>
      </c>
      <c r="C3" t="n">
        <v>2226000000</v>
      </c>
      <c r="D3" t="n">
        <v>606000000</v>
      </c>
      <c r="E3" t="n">
        <v>258000000</v>
      </c>
      <c r="F3" t="n">
        <v>1263000000</v>
      </c>
      <c r="G3" t="n">
        <v>-566000000</v>
      </c>
      <c r="H3" t="n">
        <v>697000000</v>
      </c>
      <c r="I3">
        <f>IF(B3,C3/B3,"")</f>
        <v/>
      </c>
      <c r="J3">
        <f>IF(B3,D3/B3,"")</f>
        <v/>
      </c>
    </row>
    <row r="4">
      <c r="A4" t="inlineStr">
        <is>
          <t>2025-11-30</t>
        </is>
      </c>
      <c r="B4" t="n">
        <v>6330000000</v>
      </c>
      <c r="C4" t="n">
        <v>2421000000</v>
      </c>
      <c r="D4" t="n">
        <v>735000000</v>
      </c>
      <c r="E4" t="n">
        <v>422000000</v>
      </c>
      <c r="F4" t="n">
        <v>1518000000</v>
      </c>
      <c r="G4" t="n">
        <v>-1506000000</v>
      </c>
      <c r="H4" t="n">
        <v>12000000</v>
      </c>
      <c r="I4">
        <f>IF(B4,C4/B4,"")</f>
        <v/>
      </c>
      <c r="J4">
        <f>IF(B4,D4/B4,"")</f>
        <v/>
      </c>
    </row>
    <row r="5">
      <c r="A5" t="inlineStr">
        <is>
          <t>2025-08-31</t>
        </is>
      </c>
      <c r="B5" t="n">
        <v>8153000000</v>
      </c>
      <c r="C5" t="n">
        <v>3768000000</v>
      </c>
      <c r="D5" t="n">
        <v>2272000000</v>
      </c>
      <c r="E5" t="n">
        <v>1852000000</v>
      </c>
      <c r="F5" t="n">
        <v>1383000000</v>
      </c>
      <c r="G5" t="n">
        <v>-647000000</v>
      </c>
      <c r="H5" t="n">
        <v>736000000</v>
      </c>
      <c r="I5">
        <f>IF(B5,C5/B5,"")</f>
        <v/>
      </c>
      <c r="J5">
        <f>IF(B5,D5/B5,"")</f>
        <v/>
      </c>
    </row>
    <row r="6">
      <c r="A6" t="inlineStr">
        <is>
          <t>2025-05-31</t>
        </is>
      </c>
      <c r="B6" t="n">
        <v>6328000000</v>
      </c>
      <c r="C6" t="n">
        <v>2442000000</v>
      </c>
      <c r="D6" t="n">
        <v>934000000</v>
      </c>
      <c r="E6" t="n">
        <v>565000000</v>
      </c>
      <c r="F6" t="n">
        <v>2392000000</v>
      </c>
      <c r="G6" t="n">
        <v>-851000000</v>
      </c>
      <c r="H6" t="n">
        <v>1541000000</v>
      </c>
      <c r="I6">
        <f>IF(B6,C6/B6,"")</f>
        <v/>
      </c>
      <c r="J6">
        <f>IF(B6,D6/B6,"")</f>
        <v/>
      </c>
    </row>
    <row r="7">
      <c r="A7" t="inlineStr">
        <is>
          <t>2025-02-28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26.48</v>
      </c>
      <c r="C2" t="inlineStr">
        <is>
          <t>Yahoo Finance quote, fetched 2026-10-13T16:22 SGT</t>
        </is>
      </c>
    </row>
    <row r="3">
      <c r="A3" t="inlineStr">
        <is>
          <t>Market cap 市值</t>
        </is>
      </c>
      <c r="B3" t="n">
        <v>35605278720</v>
      </c>
      <c r="C3" t="inlineStr">
        <is>
          <t>Yahoo info.marketCap 2026-10-13T16:22</t>
        </is>
      </c>
    </row>
    <row r="4">
      <c r="A4" t="inlineStr">
        <is>
          <t>Cash 现金</t>
        </is>
      </c>
      <c r="B4" t="n">
        <v>1220000000</v>
      </c>
      <c r="C4" t="inlineStr">
        <is>
          <t>Yahoo info.totalCash (latest filing) 2026-10-13T16:22</t>
        </is>
      </c>
    </row>
    <row r="5">
      <c r="A5" t="inlineStr">
        <is>
          <t>Debt 负债</t>
        </is>
      </c>
      <c r="B5" t="n">
        <v>25162000384</v>
      </c>
      <c r="C5" t="inlineStr">
        <is>
          <t>Yahoo info.totalDebt (latest filing) 2026-10-13T16:22</t>
        </is>
      </c>
    </row>
    <row r="6">
      <c r="A6" t="inlineStr">
        <is>
          <t>Revenue TTM 收入</t>
        </is>
      </c>
      <c r="B6" t="n">
        <v>27593000960</v>
      </c>
      <c r="C6" t="inlineStr">
        <is>
          <t>Yahoo info.totalRevenue (TTM, USD) 2026-10-13T16:22</t>
        </is>
      </c>
    </row>
    <row r="7">
      <c r="A7" t="inlineStr">
        <is>
          <t>FCF TTM 自由现金流</t>
        </is>
      </c>
      <c r="B7" t="n">
        <v>3200000000</v>
      </c>
      <c r="C7" t="inlineStr">
        <is>
          <t>Sum of last 4 quarterly FCF (q_cash); quarters ['2026-05-31', '2026-02-28', '2025-11-30', '2025-08-31'] (USD)</t>
        </is>
      </c>
    </row>
    <row r="8">
      <c r="A8" t="inlineStr">
        <is>
          <t>Beta</t>
        </is>
      </c>
      <c r="B8" t="n">
        <v>2.381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0.0522</v>
      </c>
      <c r="C9" t="inlineStr">
        <is>
          <t>FRED DGS10 2026-10-08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0.042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0.0312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0.0312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0.1159714379975871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2026-10-13T08:23:17Z</dcterms:created>
  <dcterms:modified xmlns:dcterms="http://purl.org/dc/terms/" xmlns:xsi="http://www.w3.org/2001/XMLSchema-instance" xsi:type="dcterms:W3CDTF">2026-10-13T08:23:17Z</dcterms:modified>
</cp:coreProperties>
</file>