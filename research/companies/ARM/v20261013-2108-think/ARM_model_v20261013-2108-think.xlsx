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ARM Valuation Model｜估值模型 — as of 2026-10-13 18:12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255.24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272595959808</v>
      </c>
      <c r="C3" t="inlineStr">
        <is>
          <t>DATA</t>
        </is>
      </c>
    </row>
    <row r="4">
      <c r="A4" t="inlineStr">
        <is>
          <t>Cash</t>
        </is>
      </c>
      <c r="B4" s="2" t="n">
        <v>3888000000</v>
      </c>
      <c r="C4" t="inlineStr">
        <is>
          <t>DATA</t>
        </is>
      </c>
    </row>
    <row r="5">
      <c r="A5" t="inlineStr">
        <is>
          <t>Debt</t>
        </is>
      </c>
      <c r="B5" s="2" t="n">
        <v>485000000</v>
      </c>
      <c r="C5" t="inlineStr">
        <is>
          <t>DATA</t>
        </is>
      </c>
    </row>
    <row r="6">
      <c r="A6" t="inlineStr">
        <is>
          <t>RevenueTTM</t>
        </is>
      </c>
      <c r="B6" s="2" t="n">
        <v>5155999744</v>
      </c>
      <c r="C6" t="inlineStr">
        <is>
          <t>DATA</t>
        </is>
      </c>
    </row>
    <row r="7">
      <c r="A7" t="inlineStr">
        <is>
          <t>FCF_TTM</t>
        </is>
      </c>
      <c r="B7" s="2" t="n">
        <v>1472000000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0.0522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0.3623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0.4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Royalty 版税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Licensing 授权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Compute subsystems/own silicon 计算子系统/自研芯片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QCOM</t>
        </is>
      </c>
      <c r="B2" s="2" t="n">
        <v>186263240704</v>
      </c>
      <c r="C2" s="2" t="n">
        <v>190158307328</v>
      </c>
      <c r="D2" s="2" t="n">
        <v>4.315</v>
      </c>
      <c r="E2" s="2" t="n">
        <v>17.106598</v>
      </c>
      <c r="F2" s="2" t="n">
        <v>-0.04</v>
      </c>
      <c r="G2" s="2" t="n">
        <v>0.54226</v>
      </c>
      <c r="H2" s="2" t="n">
        <v>0.05498132862551486</v>
      </c>
    </row>
    <row r="3">
      <c r="A3" t="inlineStr">
        <is>
          <t>CDNS</t>
        </is>
      </c>
      <c r="B3" s="2" t="n">
        <v>95952429056</v>
      </c>
      <c r="C3" s="2" t="n">
        <v>97071955968</v>
      </c>
      <c r="D3" s="2" t="n">
        <v>16.629</v>
      </c>
      <c r="E3" s="2" t="n">
        <v>36.416275</v>
      </c>
      <c r="F3" s="2" t="n">
        <v>0.242</v>
      </c>
      <c r="G3" s="2" t="n">
        <v>0.85871005</v>
      </c>
      <c r="H3" s="2" t="n">
        <v>0.01677577691191701</v>
      </c>
    </row>
    <row r="4">
      <c r="A4" t="inlineStr">
        <is>
          <t>SNPS</t>
        </is>
      </c>
      <c r="B4" s="2" t="n">
        <v>96299327488</v>
      </c>
      <c r="C4" s="2" t="n">
        <v>103532290048</v>
      </c>
      <c r="D4" s="2" t="n">
        <v>10.995</v>
      </c>
      <c r="E4" s="2" t="n">
        <v>26.952633</v>
      </c>
      <c r="F4" s="2" t="n">
        <v>0.424</v>
      </c>
      <c r="G4" s="2" t="n">
        <v>0.82921</v>
      </c>
      <c r="H4" s="2" t="n">
        <v>0.03557182058646113</v>
      </c>
    </row>
    <row r="5">
      <c r="A5" t="inlineStr">
        <is>
          <t>Peer median (ex-subject)</t>
        </is>
      </c>
      <c r="D5">
        <f>MEDIAN(D3:D4)</f>
        <v/>
      </c>
      <c r="E5">
        <f>MEDIAN(E3:E4)</f>
        <v/>
      </c>
      <c r="F5">
        <f>MEDIAN(F3:F4)</f>
        <v/>
      </c>
      <c r="G5">
        <f>MEDIAN(G3:G4)</f>
        <v/>
      </c>
      <c r="H5">
        <f>MEDIAN(H3:H4)</f>
        <v/>
      </c>
    </row>
    <row r="7">
      <c r="A7" t="inlineStr">
        <is>
          <t>Source: Yahoo Finance info fields (enterpriseToRevenue, forwardPE, revenueGrowth, grossMargins, freeCashflow/marketCap), fetched 2026-10-13 18:12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892000000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8630000000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1289000000</v>
      </c>
      <c r="C2" t="n">
        <v>1253000000</v>
      </c>
      <c r="D2" t="n">
        <v>98000000</v>
      </c>
      <c r="E2" t="n">
        <v>270000000</v>
      </c>
      <c r="F2" t="n">
        <v>902000000</v>
      </c>
      <c r="G2" t="n">
        <v>-208000000</v>
      </c>
      <c r="H2" t="n">
        <v>694000000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1490000000</v>
      </c>
      <c r="C3" t="n">
        <v>1458000000</v>
      </c>
      <c r="D3" t="n">
        <v>440000000</v>
      </c>
      <c r="E3" t="n">
        <v>313000000</v>
      </c>
      <c r="F3" t="n">
        <v>260000000</v>
      </c>
      <c r="G3" t="n">
        <v>-90000000</v>
      </c>
      <c r="H3" t="n">
        <v>170000000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1242000000</v>
      </c>
      <c r="C4" t="n">
        <v>1212000000</v>
      </c>
      <c r="D4" t="n">
        <v>191000000</v>
      </c>
      <c r="E4" t="n">
        <v>223000000</v>
      </c>
      <c r="F4" t="n">
        <v>365000000</v>
      </c>
      <c r="G4" t="n">
        <v>-184000000</v>
      </c>
      <c r="H4" t="n">
        <v>181000000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1135000000</v>
      </c>
      <c r="C5" t="n">
        <v>1106000000</v>
      </c>
      <c r="D5" t="n">
        <v>163000000</v>
      </c>
      <c r="E5" t="n">
        <v>238000000</v>
      </c>
      <c r="F5" t="n">
        <v>567000000</v>
      </c>
      <c r="G5" t="n">
        <v>-140000000</v>
      </c>
      <c r="H5" t="n">
        <v>427000000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1053000000</v>
      </c>
      <c r="C6" t="n">
        <v>1023000000</v>
      </c>
      <c r="D6" t="n">
        <v>114000000</v>
      </c>
      <c r="E6" t="n">
        <v>130000000</v>
      </c>
      <c r="F6" t="n">
        <v>332000000</v>
      </c>
      <c r="G6" t="n">
        <v>-161000000</v>
      </c>
      <c r="H6" t="n">
        <v>171000000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255.24</v>
      </c>
      <c r="C2" t="inlineStr">
        <is>
          <t>Yahoo Finance quote, fetched 2026-10-13T18:12 SGT</t>
        </is>
      </c>
    </row>
    <row r="3">
      <c r="A3" t="inlineStr">
        <is>
          <t>Market cap 市值</t>
        </is>
      </c>
      <c r="B3" t="n">
        <v>272595959808</v>
      </c>
      <c r="C3" t="inlineStr">
        <is>
          <t>Yahoo info.marketCap 2026-10-13T18:12</t>
        </is>
      </c>
    </row>
    <row r="4">
      <c r="A4" t="inlineStr">
        <is>
          <t>Cash 现金</t>
        </is>
      </c>
      <c r="B4" t="n">
        <v>3888000000</v>
      </c>
      <c r="C4" t="inlineStr">
        <is>
          <t>Yahoo info.totalCash (latest filing) 2026-10-13T18:12</t>
        </is>
      </c>
    </row>
    <row r="5">
      <c r="A5" t="inlineStr">
        <is>
          <t>Debt 负债</t>
        </is>
      </c>
      <c r="B5" t="n">
        <v>485000000</v>
      </c>
      <c r="C5" t="inlineStr">
        <is>
          <t>Yahoo info.totalDebt (latest filing) 2026-10-13T18:12</t>
        </is>
      </c>
    </row>
    <row r="6">
      <c r="A6" t="inlineStr">
        <is>
          <t>Revenue TTM 收入</t>
        </is>
      </c>
      <c r="B6" t="n">
        <v>5155999744</v>
      </c>
      <c r="C6" t="inlineStr">
        <is>
          <t>Yahoo info.totalRevenue (TTM, USD) 2026-10-13T18:12</t>
        </is>
      </c>
    </row>
    <row r="7">
      <c r="A7" t="inlineStr">
        <is>
          <t>FCF TTM 自由现金流</t>
        </is>
      </c>
      <c r="B7" t="n">
        <v>1472000000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3.789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0.0522</v>
      </c>
      <c r="C9" t="inlineStr">
        <is>
          <t>FRED DGS10 2026-10-08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0.2314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0.3623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0.3623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0.2854926441206588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0.4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2026-10-13T10:12:35Z</dcterms:created>
  <dcterms:modified xmlns:dcterms="http://purl.org/dc/terms/" xmlns:xsi="http://www.w3.org/2001/XMLSchema-instance" xsi:type="dcterms:W3CDTF">2026-10-13T10:12:35Z</dcterms:modified>
</cp:coreProperties>
</file>