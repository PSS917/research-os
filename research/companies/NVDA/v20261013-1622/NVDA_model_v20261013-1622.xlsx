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NVDA Valuation Model｜估值模型 — as of 2026-10-13 16:22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226.32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5464948998144</v>
      </c>
      <c r="C3" t="inlineStr">
        <is>
          <t>DATA</t>
        </is>
      </c>
    </row>
    <row r="4">
      <c r="A4" t="inlineStr">
        <is>
          <t>Cash</t>
        </is>
      </c>
      <c r="B4" s="2" t="n">
        <v>62469001216</v>
      </c>
      <c r="C4" t="inlineStr">
        <is>
          <t>DATA</t>
        </is>
      </c>
    </row>
    <row r="5">
      <c r="A5" t="inlineStr">
        <is>
          <t>Debt</t>
        </is>
      </c>
      <c r="B5" s="2" t="n">
        <v>38860001280</v>
      </c>
      <c r="C5" t="inlineStr">
        <is>
          <t>DATA</t>
        </is>
      </c>
    </row>
    <row r="6">
      <c r="A6" t="inlineStr">
        <is>
          <t>RevenueTTM</t>
        </is>
      </c>
      <c r="B6" s="2" t="n">
        <v>302970011648</v>
      </c>
      <c r="C6" t="inlineStr">
        <is>
          <t>DATA</t>
        </is>
      </c>
    </row>
    <row r="7">
      <c r="A7" t="inlineStr">
        <is>
          <t>FCF_TTM</t>
        </is>
      </c>
      <c r="B7" s="2" t="n">
        <v>127006000000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0.0522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0.6815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0.45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Data Center compute 数据中心计算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Data Center networking 网络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Gaming 游戏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ProViz/Auto/Other 专业可视化/汽车</t>
        </is>
      </c>
      <c r="B5" s="3" t="n"/>
      <c r="C5" s="3" t="n"/>
      <c r="D5">
        <f>IF(AND(ISNUMBER(B5),ISNUMBER(C5)),B5*C5,0)</f>
        <v/>
      </c>
      <c r="E5" t="inlineStr">
        <is>
          <t>INPUT REQUIRED: segment revenue from latest 10-K/10-Q segment note (not auto-fed; left blank to avoid fabrication)</t>
        </is>
      </c>
    </row>
    <row r="6">
      <c r="A6" t="inlineStr">
        <is>
          <t>Total EV</t>
        </is>
      </c>
      <c r="D6">
        <f>SUM(D2:D5)</f>
        <v/>
      </c>
    </row>
    <row r="7">
      <c r="A7" t="inlineStr">
        <is>
          <t>Equity value</t>
        </is>
      </c>
      <c r="D7">
        <f>D6+Inputs!B17</f>
        <v/>
      </c>
    </row>
    <row r="8">
      <c r="A8" t="inlineStr">
        <is>
          <t>Value/share USD</t>
        </is>
      </c>
      <c r="D8">
        <f>D7*Inputs!B8/Inputs!B3*Inputs!B2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AMD</t>
        </is>
      </c>
      <c r="B2" s="2" t="n">
        <v>970081959936</v>
      </c>
      <c r="C2" s="2" t="n">
        <v>961246986240</v>
      </c>
      <c r="D2" s="2" t="n">
        <v>23.272</v>
      </c>
      <c r="E2" s="2" t="n">
        <v>37.79698</v>
      </c>
      <c r="F2" s="2" t="n">
        <v>0.501</v>
      </c>
      <c r="G2" s="2" t="n">
        <v>0.55724</v>
      </c>
      <c r="H2" s="2" t="n">
        <v>0.009114177990263119</v>
      </c>
    </row>
    <row r="3">
      <c r="A3" t="inlineStr">
        <is>
          <t>AVGO</t>
        </is>
      </c>
      <c r="B3" s="2" t="n">
        <v>1693349838848</v>
      </c>
      <c r="C3" s="2" t="n">
        <v>1728793673728</v>
      </c>
      <c r="D3" s="2" t="n">
        <v>19.402</v>
      </c>
      <c r="E3" s="2" t="n">
        <v>18.290878</v>
      </c>
      <c r="F3" s="2" t="n">
        <v>0.855</v>
      </c>
      <c r="G3" s="2" t="n">
        <v>0.75515</v>
      </c>
      <c r="H3" s="2" t="n">
        <v>0.01806862277012708</v>
      </c>
    </row>
    <row r="4">
      <c r="A4" t="inlineStr">
        <is>
          <t>MRVL</t>
        </is>
      </c>
      <c r="B4" s="2" t="n">
        <v>238929608704</v>
      </c>
      <c r="C4" s="2" t="n">
        <v>234485940224</v>
      </c>
      <c r="D4" s="2" t="n">
        <v>24.813</v>
      </c>
      <c r="E4" s="2" t="n">
        <v>36.505337</v>
      </c>
      <c r="F4" s="2" t="n">
        <v>0.365</v>
      </c>
      <c r="G4" s="2" t="n">
        <v>0.52216</v>
      </c>
      <c r="H4" s="2" t="n">
        <v>0.01007849103784886</v>
      </c>
    </row>
    <row r="5">
      <c r="A5" t="inlineStr">
        <is>
          <t>INTC</t>
        </is>
      </c>
      <c r="B5" s="2" t="n">
        <v>535746740224</v>
      </c>
      <c r="C5" s="2" t="n">
        <v>547620388864</v>
      </c>
      <c r="D5" s="2" t="n">
        <v>9.602</v>
      </c>
      <c r="E5" s="2" t="n">
        <v>48.663494</v>
      </c>
      <c r="F5" s="2" t="n">
        <v>0.254</v>
      </c>
      <c r="G5" s="2" t="n">
        <v>0.38873002</v>
      </c>
      <c r="H5" s="2" t="n">
        <v>0.009083350028346098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2026-10-13 16:22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230207000000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228984000000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2026-07-31</t>
        </is>
      </c>
      <c r="B2" t="n">
        <v>96221000000</v>
      </c>
      <c r="C2" t="n">
        <v>72142000000</v>
      </c>
      <c r="D2" t="n">
        <v>63734000000</v>
      </c>
      <c r="E2" t="n">
        <v>59688000000</v>
      </c>
      <c r="F2" t="n">
        <v>24077000000</v>
      </c>
      <c r="G2" t="n">
        <v>-2677000000</v>
      </c>
      <c r="H2" t="n">
        <v>21400000000</v>
      </c>
      <c r="I2">
        <f>IF(B2,C2/B2,"")</f>
        <v/>
      </c>
      <c r="J2">
        <f>IF(B2,D2/B2,"")</f>
        <v/>
      </c>
    </row>
    <row r="3">
      <c r="A3" t="inlineStr">
        <is>
          <t>2026-04-30</t>
        </is>
      </c>
      <c r="B3" t="n">
        <v>81615000000</v>
      </c>
      <c r="C3" t="n">
        <v>61157000000</v>
      </c>
      <c r="D3" t="n">
        <v>53536000000</v>
      </c>
      <c r="E3" t="n">
        <v>58321000000</v>
      </c>
      <c r="F3" t="n">
        <v>50344000000</v>
      </c>
      <c r="G3" t="n">
        <v>-1757000000</v>
      </c>
      <c r="H3" t="n">
        <v>48587000000</v>
      </c>
      <c r="I3">
        <f>IF(B3,C3/B3,"")</f>
        <v/>
      </c>
      <c r="J3">
        <f>IF(B3,D3/B3,"")</f>
        <v/>
      </c>
    </row>
    <row r="4">
      <c r="A4" t="inlineStr">
        <is>
          <t>2026-01-31</t>
        </is>
      </c>
      <c r="B4" t="n">
        <v>68127000000</v>
      </c>
      <c r="C4" t="n">
        <v>51093000000</v>
      </c>
      <c r="D4" t="n">
        <v>44299000000</v>
      </c>
      <c r="E4" t="n">
        <v>42960000000</v>
      </c>
      <c r="F4" t="n">
        <v>36188000000</v>
      </c>
      <c r="G4" t="n">
        <v>-1284000000</v>
      </c>
      <c r="H4" t="n">
        <v>34904000000</v>
      </c>
      <c r="I4">
        <f>IF(B4,C4/B4,"")</f>
        <v/>
      </c>
      <c r="J4">
        <f>IF(B4,D4/B4,"")</f>
        <v/>
      </c>
    </row>
    <row r="5">
      <c r="A5" t="inlineStr">
        <is>
          <t>2025-10-31</t>
        </is>
      </c>
      <c r="B5" t="n">
        <v>57006000000</v>
      </c>
      <c r="C5" t="n">
        <v>41849000000</v>
      </c>
      <c r="D5" t="n">
        <v>36010000000</v>
      </c>
      <c r="E5" t="n">
        <v>31910000000</v>
      </c>
      <c r="F5" t="n">
        <v>23751000000</v>
      </c>
      <c r="G5" t="n">
        <v>-1636000000</v>
      </c>
      <c r="H5" t="n">
        <v>22115000000</v>
      </c>
      <c r="I5">
        <f>IF(B5,C5/B5,"")</f>
        <v/>
      </c>
      <c r="J5">
        <f>IF(B5,D5/B5,"")</f>
        <v/>
      </c>
    </row>
    <row r="6">
      <c r="A6" t="inlineStr">
        <is>
          <t>2025-07-31</t>
        </is>
      </c>
      <c r="B6" t="n">
        <v>46743000000</v>
      </c>
      <c r="C6" t="n">
        <v>33853000000</v>
      </c>
      <c r="D6" t="n">
        <v>28440000000</v>
      </c>
      <c r="E6" t="n">
        <v>26422000000</v>
      </c>
      <c r="F6" t="n">
        <v>15365000000</v>
      </c>
      <c r="G6" t="n">
        <v>-1895000000</v>
      </c>
      <c r="H6" t="n">
        <v>13470000000</v>
      </c>
      <c r="I6">
        <f>IF(B6,C6/B6,"")</f>
        <v/>
      </c>
      <c r="J6">
        <f>IF(B6,D6/B6,"")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226.32</v>
      </c>
      <c r="C2" t="inlineStr">
        <is>
          <t>Yahoo Finance quote, fetched 2026-10-13T16:22 SGT</t>
        </is>
      </c>
    </row>
    <row r="3">
      <c r="A3" t="inlineStr">
        <is>
          <t>Market cap 市值</t>
        </is>
      </c>
      <c r="B3" t="n">
        <v>5464948998144</v>
      </c>
      <c r="C3" t="inlineStr">
        <is>
          <t>Yahoo info.marketCap 2026-10-13T16:22</t>
        </is>
      </c>
    </row>
    <row r="4">
      <c r="A4" t="inlineStr">
        <is>
          <t>Cash 现金</t>
        </is>
      </c>
      <c r="B4" t="n">
        <v>62469001216</v>
      </c>
      <c r="C4" t="inlineStr">
        <is>
          <t>Yahoo info.totalCash (latest filing) 2026-10-13T16:22</t>
        </is>
      </c>
    </row>
    <row r="5">
      <c r="A5" t="inlineStr">
        <is>
          <t>Debt 负债</t>
        </is>
      </c>
      <c r="B5" t="n">
        <v>38860001280</v>
      </c>
      <c r="C5" t="inlineStr">
        <is>
          <t>Yahoo info.totalDebt (latest filing) 2026-10-13T16:22</t>
        </is>
      </c>
    </row>
    <row r="6">
      <c r="A6" t="inlineStr">
        <is>
          <t>Revenue TTM 收入</t>
        </is>
      </c>
      <c r="B6" t="n">
        <v>302970011648</v>
      </c>
      <c r="C6" t="inlineStr">
        <is>
          <t>Yahoo info.totalRevenue (TTM, USD) 2026-10-13T16:22</t>
        </is>
      </c>
    </row>
    <row r="7">
      <c r="A7" t="inlineStr">
        <is>
          <t>FCF TTM 自由现金流</t>
        </is>
      </c>
      <c r="B7" t="n">
        <v>127006000000</v>
      </c>
      <c r="C7" t="inlineStr">
        <is>
          <t>Sum of last 4 quarterly FCF (q_cash); quarters ['2026-07-31', '2026-04-30', '2026-01-31', '2025-10-31'] (USD)</t>
        </is>
      </c>
    </row>
    <row r="8">
      <c r="A8" t="inlineStr">
        <is>
          <t>Beta</t>
        </is>
      </c>
      <c r="B8" t="n">
        <v>2.216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0.0522</v>
      </c>
      <c r="C9" t="inlineStr">
        <is>
          <t>FRED DGS10 2026-10-08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0.9063999700000001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0.6815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0.6815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0.4192032053243591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0.45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2026-10-13T08:23:02Z</dcterms:created>
  <dcterms:modified xmlns:dcterms="http://purl.org/dc/terms/" xmlns:xsi="http://www.w3.org/2001/XMLSchema-instance" xsi:type="dcterms:W3CDTF">2026-10-13T08:23:02Z</dcterms:modified>
</cp:coreProperties>
</file>