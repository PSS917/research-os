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AVGO Valuation Model｜估值模型 — as of 2026-10-17 07:55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328.75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1569330823168</v>
      </c>
      <c r="C3" t="inlineStr">
        <is>
          <t>DATA</t>
        </is>
      </c>
    </row>
    <row r="4">
      <c r="A4" t="inlineStr">
        <is>
          <t>Cash</t>
        </is>
      </c>
      <c r="B4" s="2" t="n">
        <v>23975000064</v>
      </c>
      <c r="C4" t="inlineStr">
        <is>
          <t>DATA</t>
        </is>
      </c>
    </row>
    <row r="5">
      <c r="A5" t="inlineStr">
        <is>
          <t>Debt</t>
        </is>
      </c>
      <c r="B5" s="2" t="n">
        <v>59419000832</v>
      </c>
      <c r="C5" t="inlineStr">
        <is>
          <t>DATA</t>
        </is>
      </c>
    </row>
    <row r="6">
      <c r="A6" t="inlineStr">
        <is>
          <t>RevenueTTM</t>
        </is>
      </c>
      <c r="B6" s="2" t="n">
        <v>89103998976</v>
      </c>
      <c r="C6" t="inlineStr">
        <is>
          <t>DATA</t>
        </is>
      </c>
    </row>
    <row r="7">
      <c r="A7" t="inlineStr">
        <is>
          <t>FCF_TTM</t>
        </is>
      </c>
      <c r="B7" s="2" t="n">
        <v>39403000000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0.051</v>
      </c>
      <c r="C9" t="inlineStr">
        <is>
          <t>DATA</t>
        </is>
      </c>
    </row>
    <row r="10">
      <c r="A10" t="inlineStr">
        <is>
          <t>Beta</t>
        </is>
      </c>
      <c r="B10" s="2" t="n">
        <v>1.476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0.6415999999999999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0.45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AI semiconductors (XPU+networking) AI半导体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Non-AI semis 非AI半导体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Infrastructure software (VMware) 基础软件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MRVL</t>
        </is>
      </c>
      <c r="B2" s="2" t="n">
        <v>204751880192</v>
      </c>
      <c r="C2" s="2" t="n">
        <v>201137422336</v>
      </c>
      <c r="D2" s="2" t="n">
        <v>21.284</v>
      </c>
      <c r="E2" s="2" t="n">
        <v>31.22563</v>
      </c>
      <c r="F2" s="2" t="n">
        <v>0.365</v>
      </c>
      <c r="G2" s="2" t="n">
        <v>0.52216</v>
      </c>
      <c r="H2" s="2" t="n">
        <v>0.01176081957216668</v>
      </c>
    </row>
    <row r="3">
      <c r="A3" t="inlineStr">
        <is>
          <t>NVDA</t>
        </is>
      </c>
      <c r="B3" s="2" t="n">
        <v>5170596937728</v>
      </c>
      <c r="C3" s="2" t="n">
        <v>5136442195968</v>
      </c>
      <c r="D3" s="2" t="n">
        <v>16.954</v>
      </c>
      <c r="E3" s="2" t="n">
        <v>13.454941</v>
      </c>
      <c r="F3" s="2" t="n">
        <v>1.059</v>
      </c>
      <c r="G3" s="2" t="n">
        <v>0.74674004</v>
      </c>
      <c r="H3" s="2" t="n">
        <v>0.008086082796152272</v>
      </c>
    </row>
    <row r="4">
      <c r="A4" t="inlineStr">
        <is>
          <t>ANET</t>
        </is>
      </c>
      <c r="B4" s="2" t="n">
        <v>223211536384</v>
      </c>
      <c r="C4" s="2" t="n">
        <v>209868242944</v>
      </c>
      <c r="D4" s="2" t="n">
        <v>19.91</v>
      </c>
      <c r="E4" s="2" t="n">
        <v>33.88876</v>
      </c>
      <c r="F4" s="2" t="n">
        <v>0.377</v>
      </c>
      <c r="G4" s="2" t="n">
        <v>0.63004</v>
      </c>
      <c r="H4" s="2" t="n">
        <v>0.01743419107740592</v>
      </c>
    </row>
    <row r="5">
      <c r="A5" t="inlineStr">
        <is>
          <t>QCOM</t>
        </is>
      </c>
      <c r="B5" s="2" t="n">
        <v>183785848832</v>
      </c>
      <c r="C5" s="2" t="n">
        <v>187648245760</v>
      </c>
      <c r="D5" s="2" t="n">
        <v>4.258</v>
      </c>
      <c r="E5" s="2" t="n">
        <v>16.88979</v>
      </c>
      <c r="F5" s="2" t="n">
        <v>-0.04</v>
      </c>
      <c r="G5" s="2" t="n">
        <v>0.54226</v>
      </c>
      <c r="H5" s="2" t="n">
        <v>0.05572246455907155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2026-10-17 07:55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43585000000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99690000000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2026-07-31</t>
        </is>
      </c>
      <c r="B2" t="n">
        <v>29591000000</v>
      </c>
      <c r="C2" t="n">
        <v>20456000000</v>
      </c>
      <c r="D2" t="n">
        <v>16058000000</v>
      </c>
      <c r="E2" t="n">
        <v>13088000000</v>
      </c>
      <c r="F2" t="n">
        <v>14197000000</v>
      </c>
      <c r="G2" t="n">
        <v>-532000000</v>
      </c>
      <c r="H2" t="n">
        <v>13665000000</v>
      </c>
      <c r="I2">
        <f>IF(B2,C2/B2,"")</f>
        <v/>
      </c>
      <c r="J2">
        <f>IF(B2,D2/B2,"")</f>
        <v/>
      </c>
    </row>
    <row r="3">
      <c r="A3" t="inlineStr">
        <is>
          <t>2026-04-30</t>
        </is>
      </c>
      <c r="B3" t="n">
        <v>22187000000</v>
      </c>
      <c r="C3" t="n">
        <v>15415000000</v>
      </c>
      <c r="D3" t="n">
        <v>10859000000</v>
      </c>
      <c r="E3" t="n">
        <v>9310000000</v>
      </c>
      <c r="F3" t="n">
        <v>10493000000</v>
      </c>
      <c r="G3" t="n">
        <v>-231000000</v>
      </c>
      <c r="H3" t="n">
        <v>10262000000</v>
      </c>
      <c r="I3">
        <f>IF(B3,C3/B3,"")</f>
        <v/>
      </c>
      <c r="J3">
        <f>IF(B3,D3/B3,"")</f>
        <v/>
      </c>
    </row>
    <row r="4">
      <c r="A4" t="inlineStr">
        <is>
          <t>2026-01-31</t>
        </is>
      </c>
      <c r="B4" t="n">
        <v>19311000000</v>
      </c>
      <c r="C4" t="n">
        <v>13157000000</v>
      </c>
      <c r="D4" t="n">
        <v>8666000000</v>
      </c>
      <c r="E4" t="n">
        <v>7349000000</v>
      </c>
      <c r="F4" t="n">
        <v>8260000000</v>
      </c>
      <c r="G4" t="n">
        <v>-250000000</v>
      </c>
      <c r="H4" t="n">
        <v>8010000000</v>
      </c>
      <c r="I4">
        <f>IF(B4,C4/B4,"")</f>
        <v/>
      </c>
      <c r="J4">
        <f>IF(B4,D4/B4,"")</f>
        <v/>
      </c>
    </row>
    <row r="5">
      <c r="A5" t="inlineStr">
        <is>
          <t>2025-10-31</t>
        </is>
      </c>
      <c r="B5" t="n">
        <v>18015000000</v>
      </c>
      <c r="C5" t="n">
        <v>12249000000</v>
      </c>
      <c r="D5" t="n">
        <v>7654000000</v>
      </c>
      <c r="E5" t="n">
        <v>8518000000</v>
      </c>
      <c r="F5" t="n">
        <v>7703000000</v>
      </c>
      <c r="G5" t="n">
        <v>-237000000</v>
      </c>
      <c r="H5" t="n">
        <v>7466000000</v>
      </c>
      <c r="I5">
        <f>IF(B5,C5/B5,"")</f>
        <v/>
      </c>
      <c r="J5">
        <f>IF(B5,D5/B5,"")</f>
        <v/>
      </c>
    </row>
    <row r="6">
      <c r="A6" t="inlineStr">
        <is>
          <t>2025-07-31</t>
        </is>
      </c>
      <c r="B6" t="n">
        <v>15952000000</v>
      </c>
      <c r="C6" t="n">
        <v>10703000000</v>
      </c>
      <c r="D6" t="n">
        <v>6074000000</v>
      </c>
      <c r="E6" t="n">
        <v>4140000000</v>
      </c>
      <c r="F6" t="n">
        <v>7166000000</v>
      </c>
      <c r="G6" t="n">
        <v>-142000000</v>
      </c>
      <c r="H6" t="n">
        <v>7024000000</v>
      </c>
      <c r="I6">
        <f>IF(B6,C6/B6,"")</f>
        <v/>
      </c>
      <c r="J6">
        <f>IF(B6,D6/B6,"")</f>
        <v/>
      </c>
    </row>
    <row r="7">
      <c r="A7" t="inlineStr">
        <is>
          <t>2025-04-30</t>
        </is>
      </c>
      <c r="I7">
        <f>IF(B7,C7/B7,"")</f>
        <v/>
      </c>
      <c r="J7">
        <f>IF(B7,D7/B7,"")</f>
        <v/>
      </c>
    </row>
    <row r="8">
      <c r="A8" t="inlineStr">
        <is>
          <t>2025-01-31</t>
        </is>
      </c>
      <c r="I8">
        <f>IF(B8,C8/B8,"")</f>
        <v/>
      </c>
      <c r="J8">
        <f>IF(B8,D8/B8,"")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328.75</v>
      </c>
      <c r="C2" t="inlineStr">
        <is>
          <t>Yahoo Finance quote, fetched 2026-10-17T07:55 SGT</t>
        </is>
      </c>
    </row>
    <row r="3">
      <c r="A3" t="inlineStr">
        <is>
          <t>Market cap 市值</t>
        </is>
      </c>
      <c r="B3" t="n">
        <v>1569330823168</v>
      </c>
      <c r="C3" t="inlineStr">
        <is>
          <t>Yahoo info.marketCap 2026-10-17T07:55</t>
        </is>
      </c>
    </row>
    <row r="4">
      <c r="A4" t="inlineStr">
        <is>
          <t>Cash 现金</t>
        </is>
      </c>
      <c r="B4" t="n">
        <v>23975000064</v>
      </c>
      <c r="C4" t="inlineStr">
        <is>
          <t>Yahoo info.totalCash (latest filing) 2026-10-17T07:55</t>
        </is>
      </c>
    </row>
    <row r="5">
      <c r="A5" t="inlineStr">
        <is>
          <t>Debt 负债</t>
        </is>
      </c>
      <c r="B5" t="n">
        <v>59419000832</v>
      </c>
      <c r="C5" t="inlineStr">
        <is>
          <t>Yahoo info.totalDebt (latest filing) 2026-10-17T07:55</t>
        </is>
      </c>
    </row>
    <row r="6">
      <c r="A6" t="inlineStr">
        <is>
          <t>Revenue TTM 收入</t>
        </is>
      </c>
      <c r="B6" t="n">
        <v>89103998976</v>
      </c>
      <c r="C6" t="inlineStr">
        <is>
          <t>Yahoo info.totalRevenue (TTM, USD) 2026-10-17T07:55</t>
        </is>
      </c>
    </row>
    <row r="7">
      <c r="A7" t="inlineStr">
        <is>
          <t>FCF TTM 自由现金流</t>
        </is>
      </c>
      <c r="B7" t="n">
        <v>39403000000</v>
      </c>
      <c r="C7" t="inlineStr">
        <is>
          <t>Sum of last 4 quarterly FCF (q_cash); quarters ['2026-07-31', '2026-04-30', '2026-01-31', '2025-10-31'] (USD)</t>
        </is>
      </c>
    </row>
    <row r="8">
      <c r="A8" t="inlineStr">
        <is>
          <t>Beta</t>
        </is>
      </c>
      <c r="B8" t="n">
        <v>1.476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0.051</v>
      </c>
      <c r="C9" t="inlineStr">
        <is>
          <t>FRED DGS10 2026-10-15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0.65879995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0.6415999999999999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1.48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0.6415999999999999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0.4422135981866889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0.45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2026-10-16T23:56:54Z</dcterms:created>
  <dcterms:modified xmlns:dcterms="http://purl.org/dc/terms/" xmlns:xsi="http://www.w3.org/2001/XMLSchema-instance" xsi:type="dcterms:W3CDTF">2026-10-16T23:56:54Z</dcterms:modified>
</cp:coreProperties>
</file>