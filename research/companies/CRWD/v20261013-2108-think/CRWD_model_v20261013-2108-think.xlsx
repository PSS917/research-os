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Scenarios" sheetId="3" state="visible" r:id="rId3"/>
    <sheet xmlns:r="http://schemas.openxmlformats.org/officeDocument/2006/relationships" name="DCF" sheetId="4" state="visible" r:id="rId4"/>
    <sheet xmlns:r="http://schemas.openxmlformats.org/officeDocument/2006/relationships" name="ReverseDCF" sheetId="5" state="visible" r:id="rId5"/>
    <sheet xmlns:r="http://schemas.openxmlformats.org/officeDocument/2006/relationships" name="Sensitivity" sheetId="6" state="visible" r:id="rId6"/>
    <sheet xmlns:r="http://schemas.openxmlformats.org/officeDocument/2006/relationships" name="Horizons" sheetId="7" state="visible" r:id="rId7"/>
    <sheet xmlns:r="http://schemas.openxmlformats.org/officeDocument/2006/relationships" name="SOTP" sheetId="8" state="visible" r:id="rId8"/>
    <sheet xmlns:r="http://schemas.openxmlformats.org/officeDocument/2006/relationships" name="Comps" sheetId="9" state="visible" r:id="rId9"/>
    <sheet xmlns:r="http://schemas.openxmlformats.org/officeDocument/2006/relationships" name="ROIC_WACC" sheetId="10" state="visible" r:id="rId10"/>
    <sheet xmlns:r="http://schemas.openxmlformats.org/officeDocument/2006/relationships" name="History" sheetId="11" state="visible" r:id="rId11"/>
    <sheet xmlns:r="http://schemas.openxmlformats.org/officeDocument/2006/relationships" name="Sources" sheetId="12" state="visible" r:id="rId12"/>
    <sheet xmlns:r="http://schemas.openxmlformats.org/officeDocument/2006/relationships" name="Assumption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CRWD Valuation Model｜估值模型 — as of 2026-10-13 18:12 SGT</t>
        </is>
      </c>
    </row>
    <row r="2">
      <c r="A2" t="inlineStr">
        <is>
          <t>Live formulas: yellow = ASSUMPTION input (editable), blue = DATA (sourced in Sources sheet). Change any yellow cell and every sheet recalculates.</t>
        </is>
      </c>
    </row>
    <row r="3">
      <c r="A3" t="inlineStr">
        <is>
          <t>黄色=假设(可改)，蓝色=数据(来源见Sources表)。所有估值、反向DCF、敏感度、情景、2/4/6/8季度检验均为公式联动。</t>
        </is>
      </c>
    </row>
    <row r="4">
      <c r="A4" t="inlineStr">
        <is>
          <t>Not investment advice｜非投资建议。</t>
        </is>
      </c>
    </row>
    <row r="5">
      <c r="A5" t="inlineStr">
        <is>
          <t>Sheets: Inputs, Scenarios, DCF, ReverseDCF, Sensitivity, Horizons, SOTP, Comps, ROIC_WACC, History, Sources, Assumptions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6" customWidth="1" min="3" max="3"/>
    <col width="6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 项目</t>
        </is>
      </c>
      <c r="B1" s="1" t="inlineStr">
        <is>
          <t>Value 数值</t>
        </is>
      </c>
      <c r="C1" s="1" t="inlineStr">
        <is>
          <t>Type</t>
        </is>
      </c>
      <c r="D1" s="1" t="inlineStr">
        <is>
          <t>Source 来源</t>
        </is>
      </c>
    </row>
    <row r="2">
      <c r="A2" t="inlineStr">
        <is>
          <t>Price</t>
        </is>
      </c>
      <c r="B2" s="2" t="n">
        <v>263.01</v>
      </c>
      <c r="C2" t="inlineStr">
        <is>
          <t>DATA</t>
        </is>
      </c>
      <c r="D2" t="inlineStr">
        <is>
          <t>see Sources</t>
        </is>
      </c>
    </row>
    <row r="3">
      <c r="A3" t="inlineStr">
        <is>
          <t>MarketCap</t>
        </is>
      </c>
      <c r="B3" s="2" t="n">
        <v>269305118720</v>
      </c>
      <c r="C3" t="inlineStr">
        <is>
          <t>DATA</t>
        </is>
      </c>
    </row>
    <row r="4">
      <c r="A4" t="inlineStr">
        <is>
          <t>Cash</t>
        </is>
      </c>
      <c r="B4" s="2" t="n">
        <v>5013847040</v>
      </c>
      <c r="C4" t="inlineStr">
        <is>
          <t>DATA</t>
        </is>
      </c>
    </row>
    <row r="5">
      <c r="A5" t="inlineStr">
        <is>
          <t>Debt</t>
        </is>
      </c>
      <c r="B5" s="2" t="n">
        <v>820179008</v>
      </c>
      <c r="C5" t="inlineStr">
        <is>
          <t>DATA</t>
        </is>
      </c>
    </row>
    <row r="6">
      <c r="A6" t="inlineStr">
        <is>
          <t>RevenueTTM</t>
        </is>
      </c>
      <c r="B6" s="2" t="n">
        <v>5396145152</v>
      </c>
      <c r="C6" t="inlineStr">
        <is>
          <t>DATA</t>
        </is>
      </c>
    </row>
    <row r="7">
      <c r="A7" t="inlineStr">
        <is>
          <t>FCF_TTM</t>
        </is>
      </c>
      <c r="B7" s="2" t="n">
        <v>1522603000</v>
      </c>
      <c r="C7" t="inlineStr">
        <is>
          <t>DATA</t>
        </is>
      </c>
    </row>
    <row r="8">
      <c r="A8" t="inlineStr">
        <is>
          <t>FX_USD_per_FinCur</t>
        </is>
      </c>
      <c r="B8" s="2" t="n">
        <v>1</v>
      </c>
      <c r="C8" t="inlineStr">
        <is>
          <t>DATA</t>
        </is>
      </c>
    </row>
    <row r="9">
      <c r="A9" t="inlineStr">
        <is>
          <t>RiskFree</t>
        </is>
      </c>
      <c r="B9" s="2" t="n">
        <v>0.0522</v>
      </c>
      <c r="C9" t="inlineStr">
        <is>
          <t>DATA</t>
        </is>
      </c>
    </row>
    <row r="10">
      <c r="A10" t="inlineStr">
        <is>
          <t>Beta</t>
        </is>
      </c>
      <c r="B10" s="2" t="n">
        <v>1.197</v>
      </c>
      <c r="C10" t="inlineStr">
        <is>
          <t>DATA (clamped)</t>
        </is>
      </c>
    </row>
    <row r="11">
      <c r="A11" t="inlineStr">
        <is>
          <t>ERP</t>
        </is>
      </c>
      <c r="B11" s="3" t="n">
        <v>0.05</v>
      </c>
      <c r="C11" t="inlineStr">
        <is>
          <t>ASSUMPTION</t>
        </is>
      </c>
    </row>
    <row r="12">
      <c r="A12" t="inlineStr">
        <is>
          <t>TaxRate</t>
        </is>
      </c>
      <c r="B12" s="3" t="n">
        <v>0.18</v>
      </c>
      <c r="C12" t="inlineStr">
        <is>
          <t>ASSUMPTION</t>
        </is>
      </c>
    </row>
    <row r="13">
      <c r="A13" t="inlineStr">
        <is>
          <t>Y1Growth_Base</t>
        </is>
      </c>
      <c r="B13" s="2" t="n">
        <v>0.22639999</v>
      </c>
      <c r="C13" t="inlineStr">
        <is>
          <t>DATA→consensus</t>
        </is>
      </c>
    </row>
    <row r="14">
      <c r="A14" t="inlineStr">
        <is>
          <t>FCFMargin_Now</t>
        </is>
      </c>
      <c r="B14" s="2">
        <f>MAX(B7/B6,-0.5)</f>
        <v/>
      </c>
      <c r="C14" t="inlineStr">
        <is>
          <t>FORMULA</t>
        </is>
      </c>
    </row>
    <row r="15">
      <c r="A15" t="inlineStr">
        <is>
          <t>LongRunMargin_Base</t>
        </is>
      </c>
      <c r="B15" s="3" t="n">
        <v>0.32</v>
      </c>
      <c r="C15" t="inlineStr">
        <is>
          <t>ASSUMPTION</t>
        </is>
      </c>
    </row>
    <row r="16">
      <c r="A16" t="inlineStr">
        <is>
          <t>WACC_Base</t>
        </is>
      </c>
      <c r="B16" s="2">
        <f>B9+B10*B11</f>
        <v/>
      </c>
      <c r="C16" t="inlineStr">
        <is>
          <t>FORMULA</t>
        </is>
      </c>
    </row>
    <row r="17">
      <c r="A17" t="inlineStr">
        <is>
          <t>NetCash</t>
        </is>
      </c>
      <c r="B17" s="2">
        <f>B4-B5</f>
        <v/>
      </c>
      <c r="C17" t="inlineStr">
        <is>
          <t>FORMULA</t>
        </is>
      </c>
    </row>
    <row r="18">
      <c r="A18" t="inlineStr">
        <is>
          <t>EV_now (fin cur)</t>
        </is>
      </c>
      <c r="B18" s="2">
        <f>B3/B8-B4+B5</f>
        <v/>
      </c>
      <c r="C18" t="inlineStr">
        <is>
          <t>FORMULA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Param</t>
        </is>
      </c>
      <c r="B1" s="1" t="inlineStr">
        <is>
          <t>Bear</t>
        </is>
      </c>
      <c r="C1" s="1" t="inlineStr">
        <is>
          <t>Base</t>
        </is>
      </c>
      <c r="D1" s="1" t="inlineStr">
        <is>
          <t>Bull</t>
        </is>
      </c>
      <c r="E1" s="1" t="inlineStr">
        <is>
          <t>Note</t>
        </is>
      </c>
    </row>
    <row r="2">
      <c r="A2" t="inlineStr">
        <is>
          <t>Y1 growth</t>
        </is>
      </c>
      <c r="B2">
        <f>Inputs!B13*0.5</f>
        <v/>
      </c>
      <c r="C2">
        <f>Inputs!B13</f>
        <v/>
      </c>
      <c r="D2">
        <f>Inputs!B13*1.3</f>
        <v/>
      </c>
      <c r="E2" t="inlineStr">
        <is>
          <t>Bear 0.5x / Bull 1.3x consensus FY+1 growth (ASSUMPTION)</t>
        </is>
      </c>
    </row>
    <row r="3">
      <c r="A3" t="inlineStr">
        <is>
          <t>LongRun FCF margin</t>
        </is>
      </c>
      <c r="B3">
        <f>Inputs!B15*0.8</f>
        <v/>
      </c>
      <c r="C3">
        <f>Inputs!B15</f>
        <v/>
      </c>
      <c r="D3">
        <f>Inputs!B15*1.15</f>
        <v/>
      </c>
      <c r="E3" t="inlineStr">
        <is>
          <t>Bear 0.8x / Bull 1.15x (ASSUMPTION)</t>
        </is>
      </c>
    </row>
    <row r="4">
      <c r="A4" t="inlineStr">
        <is>
          <t>WACC</t>
        </is>
      </c>
      <c r="B4">
        <f>Inputs!B16+0.01</f>
        <v/>
      </c>
      <c r="C4">
        <f>Inputs!B16</f>
        <v/>
      </c>
      <c r="D4">
        <f>Inputs!B16-0.005</f>
        <v/>
      </c>
    </row>
    <row r="5">
      <c r="A5" t="inlineStr">
        <is>
          <t>Terminal g</t>
        </is>
      </c>
      <c r="B5" s="3" t="n">
        <v>0.025</v>
      </c>
      <c r="C5" s="3" t="n">
        <v>0.03</v>
      </c>
      <c r="D5" s="3" t="n">
        <v>0.035</v>
      </c>
    </row>
    <row r="6">
      <c r="A6" t="inlineStr">
        <is>
          <t>Probability</t>
        </is>
      </c>
      <c r="B6" s="3" t="n">
        <v>0.25</v>
      </c>
      <c r="C6" s="3" t="n">
        <v>0.5</v>
      </c>
      <c r="D6" s="3" t="n">
        <v>0.25</v>
      </c>
    </row>
    <row r="7">
      <c r="A7" t="inlineStr">
        <is>
          <t>Value/share (USD)</t>
        </is>
      </c>
      <c r="B7">
        <f>DCF!C40</f>
        <v/>
      </c>
      <c r="C7">
        <f>DCF!C41</f>
        <v/>
      </c>
      <c r="D7">
        <f>DCF!C42</f>
        <v/>
      </c>
    </row>
    <row r="8">
      <c r="A8" t="inlineStr">
        <is>
          <t>Upside vs price</t>
        </is>
      </c>
      <c r="B8">
        <f>B7/Inputs!$B$2-1</f>
        <v/>
      </c>
      <c r="C8">
        <f>C7/Inputs!$B$2-1</f>
        <v/>
      </c>
      <c r="D8">
        <f>D7/Inputs!$B$2-1</f>
        <v/>
      </c>
    </row>
    <row r="9">
      <c r="A9" t="inlineStr">
        <is>
          <t>Prob-weighted value</t>
        </is>
      </c>
      <c r="C9">
        <f>SUMPRODUCT(B6:D6,B7:D7)</f>
        <v/>
      </c>
    </row>
    <row r="10">
      <c r="A10" t="inlineStr">
        <is>
          <t>Weighted upside</t>
        </is>
      </c>
      <c r="C10">
        <f>C9/Inputs!B2-1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10-year FCF DCF per scenario (financial currency); growth fades linearly to terminal g; margin moves linearly to long-run by Y5</t>
        </is>
      </c>
    </row>
    <row r="3">
      <c r="A3" s="4" t="inlineStr">
        <is>
          <t>Bear</t>
        </is>
      </c>
    </row>
    <row r="4">
      <c r="A4" s="1" t="inlineStr">
        <is>
          <t>Year</t>
        </is>
      </c>
      <c r="B4" s="1" t="n">
        <v>1</v>
      </c>
      <c r="C4" s="1" t="n">
        <v>2</v>
      </c>
      <c r="D4" s="1" t="n">
        <v>3</v>
      </c>
      <c r="E4" s="1" t="n">
        <v>4</v>
      </c>
      <c r="F4" s="1" t="n">
        <v>5</v>
      </c>
      <c r="G4" s="1" t="n">
        <v>6</v>
      </c>
      <c r="H4" s="1" t="n">
        <v>7</v>
      </c>
      <c r="I4" s="1" t="n">
        <v>8</v>
      </c>
      <c r="J4" s="1" t="n">
        <v>9</v>
      </c>
      <c r="K4" s="1" t="n">
        <v>10</v>
      </c>
    </row>
    <row r="5">
      <c r="A5" t="inlineStr">
        <is>
          <t>Growth</t>
        </is>
      </c>
      <c r="B5">
        <f>Scenarios!B2-(Scenarios!B2-Scenarios!B5)*(B4-1)/9</f>
        <v/>
      </c>
      <c r="C5">
        <f>Scenarios!B2-(Scenarios!B2-Scenarios!B5)*(C4-1)/9</f>
        <v/>
      </c>
      <c r="D5">
        <f>Scenarios!B2-(Scenarios!B2-Scenarios!B5)*(D4-1)/9</f>
        <v/>
      </c>
      <c r="E5">
        <f>Scenarios!B2-(Scenarios!B2-Scenarios!B5)*(E4-1)/9</f>
        <v/>
      </c>
      <c r="F5">
        <f>Scenarios!B2-(Scenarios!B2-Scenarios!B5)*(F4-1)/9</f>
        <v/>
      </c>
      <c r="G5">
        <f>Scenarios!B2-(Scenarios!B2-Scenarios!B5)*(G4-1)/9</f>
        <v/>
      </c>
      <c r="H5">
        <f>Scenarios!B2-(Scenarios!B2-Scenarios!B5)*(H4-1)/9</f>
        <v/>
      </c>
      <c r="I5">
        <f>Scenarios!B2-(Scenarios!B2-Scenarios!B5)*(I4-1)/9</f>
        <v/>
      </c>
      <c r="J5">
        <f>Scenarios!B2-(Scenarios!B2-Scenarios!B5)*(J4-1)/9</f>
        <v/>
      </c>
      <c r="K5">
        <f>Scenarios!B2-(Scenarios!B2-Scenarios!B5)*(K4-1)/9</f>
        <v/>
      </c>
    </row>
    <row r="6">
      <c r="A6" t="inlineStr">
        <is>
          <t>Revenue</t>
        </is>
      </c>
      <c r="B6">
        <f>Inputs!B6*(1+B5)</f>
        <v/>
      </c>
      <c r="C6">
        <f>B6*(1+C5)</f>
        <v/>
      </c>
      <c r="D6">
        <f>C6*(1+D5)</f>
        <v/>
      </c>
      <c r="E6">
        <f>D6*(1+E5)</f>
        <v/>
      </c>
      <c r="F6">
        <f>E6*(1+F5)</f>
        <v/>
      </c>
      <c r="G6">
        <f>F6*(1+G5)</f>
        <v/>
      </c>
      <c r="H6">
        <f>G6*(1+H5)</f>
        <v/>
      </c>
      <c r="I6">
        <f>H6*(1+I5)</f>
        <v/>
      </c>
      <c r="J6">
        <f>I6*(1+J5)</f>
        <v/>
      </c>
      <c r="K6">
        <f>J6*(1+K5)</f>
        <v/>
      </c>
    </row>
    <row r="7">
      <c r="A7" t="inlineStr">
        <is>
          <t>FCF margin</t>
        </is>
      </c>
      <c r="B7">
        <f>Inputs!$B$14+(Scenarios!B3-Inputs!$B$14)*MIN(B4,5)/5</f>
        <v/>
      </c>
      <c r="C7">
        <f>Inputs!$B$14+(Scenarios!B3-Inputs!$B$14)*MIN(C4,5)/5</f>
        <v/>
      </c>
      <c r="D7">
        <f>Inputs!$B$14+(Scenarios!B3-Inputs!$B$14)*MIN(D4,5)/5</f>
        <v/>
      </c>
      <c r="E7">
        <f>Inputs!$B$14+(Scenarios!B3-Inputs!$B$14)*MIN(E4,5)/5</f>
        <v/>
      </c>
      <c r="F7">
        <f>Inputs!$B$14+(Scenarios!B3-Inputs!$B$14)*MIN(F4,5)/5</f>
        <v/>
      </c>
      <c r="G7">
        <f>Inputs!$B$14+(Scenarios!B3-Inputs!$B$14)*MIN(G4,5)/5</f>
        <v/>
      </c>
      <c r="H7">
        <f>Inputs!$B$14+(Scenarios!B3-Inputs!$B$14)*MIN(H4,5)/5</f>
        <v/>
      </c>
      <c r="I7">
        <f>Inputs!$B$14+(Scenarios!B3-Inputs!$B$14)*MIN(I4,5)/5</f>
        <v/>
      </c>
      <c r="J7">
        <f>Inputs!$B$14+(Scenarios!B3-Inputs!$B$14)*MIN(J4,5)/5</f>
        <v/>
      </c>
      <c r="K7">
        <f>Inputs!$B$14+(Scenarios!B3-Inputs!$B$14)*MIN(K4,5)/5</f>
        <v/>
      </c>
    </row>
    <row r="8">
      <c r="A8" t="inlineStr">
        <is>
          <t>FCF</t>
        </is>
      </c>
      <c r="B8">
        <f>B6*B7</f>
        <v/>
      </c>
      <c r="C8">
        <f>C6*C7</f>
        <v/>
      </c>
      <c r="D8">
        <f>D6*D7</f>
        <v/>
      </c>
      <c r="E8">
        <f>E6*E7</f>
        <v/>
      </c>
      <c r="F8">
        <f>F6*F7</f>
        <v/>
      </c>
      <c r="G8">
        <f>G6*G7</f>
        <v/>
      </c>
      <c r="H8">
        <f>H6*H7</f>
        <v/>
      </c>
      <c r="I8">
        <f>I6*I7</f>
        <v/>
      </c>
      <c r="J8">
        <f>J6*J7</f>
        <v/>
      </c>
      <c r="K8">
        <f>K6*K7</f>
        <v/>
      </c>
    </row>
    <row r="9">
      <c r="A9" t="inlineStr">
        <is>
          <t>Disc factor</t>
        </is>
      </c>
      <c r="B9">
        <f>1/(1+Scenarios!B4)^B4</f>
        <v/>
      </c>
      <c r="C9">
        <f>1/(1+Scenarios!B4)^C4</f>
        <v/>
      </c>
      <c r="D9">
        <f>1/(1+Scenarios!B4)^D4</f>
        <v/>
      </c>
      <c r="E9">
        <f>1/(1+Scenarios!B4)^E4</f>
        <v/>
      </c>
      <c r="F9">
        <f>1/(1+Scenarios!B4)^F4</f>
        <v/>
      </c>
      <c r="G9">
        <f>1/(1+Scenarios!B4)^G4</f>
        <v/>
      </c>
      <c r="H9">
        <f>1/(1+Scenarios!B4)^H4</f>
        <v/>
      </c>
      <c r="I9">
        <f>1/(1+Scenarios!B4)^I4</f>
        <v/>
      </c>
      <c r="J9">
        <f>1/(1+Scenarios!B4)^J4</f>
        <v/>
      </c>
      <c r="K9">
        <f>1/(1+Scenarios!B4)^K4</f>
        <v/>
      </c>
    </row>
    <row r="10">
      <c r="A10" t="inlineStr">
        <is>
          <t>PV FCF</t>
        </is>
      </c>
      <c r="B10">
        <f>B8*B9</f>
        <v/>
      </c>
      <c r="C10">
        <f>C8*C9</f>
        <v/>
      </c>
      <c r="D10">
        <f>D8*D9</f>
        <v/>
      </c>
      <c r="E10">
        <f>E8*E9</f>
        <v/>
      </c>
      <c r="F10">
        <f>F8*F9</f>
        <v/>
      </c>
      <c r="G10">
        <f>G8*G9</f>
        <v/>
      </c>
      <c r="H10">
        <f>H8*H9</f>
        <v/>
      </c>
      <c r="I10">
        <f>I8*I9</f>
        <v/>
      </c>
      <c r="J10">
        <f>J8*J9</f>
        <v/>
      </c>
      <c r="K10">
        <f>K8*K9</f>
        <v/>
      </c>
    </row>
    <row r="11">
      <c r="A11" t="inlineStr">
        <is>
          <t>Sum PV / TV / PV TV / EV / Equity</t>
        </is>
      </c>
      <c r="B11">
        <f>SUM(B10:K10)</f>
        <v/>
      </c>
      <c r="C11">
        <f>K8*(1+Scenarios!B5)/(Scenarios!B4-Scenarios!B5)</f>
        <v/>
      </c>
      <c r="D11">
        <f>C11*K9</f>
        <v/>
      </c>
      <c r="E11">
        <f>B11+D11</f>
        <v/>
      </c>
      <c r="F11">
        <f>E11+Inputs!$B$17</f>
        <v/>
      </c>
    </row>
    <row r="15">
      <c r="A15" s="4" t="inlineStr">
        <is>
          <t>Base</t>
        </is>
      </c>
    </row>
    <row r="16">
      <c r="A16" s="1" t="inlineStr">
        <is>
          <t>Year</t>
        </is>
      </c>
      <c r="B16" s="1" t="n">
        <v>1</v>
      </c>
      <c r="C16" s="1" t="n">
        <v>2</v>
      </c>
      <c r="D16" s="1" t="n">
        <v>3</v>
      </c>
      <c r="E16" s="1" t="n">
        <v>4</v>
      </c>
      <c r="F16" s="1" t="n">
        <v>5</v>
      </c>
      <c r="G16" s="1" t="n">
        <v>6</v>
      </c>
      <c r="H16" s="1" t="n">
        <v>7</v>
      </c>
      <c r="I16" s="1" t="n">
        <v>8</v>
      </c>
      <c r="J16" s="1" t="n">
        <v>9</v>
      </c>
      <c r="K16" s="1" t="n">
        <v>10</v>
      </c>
    </row>
    <row r="17">
      <c r="A17" t="inlineStr">
        <is>
          <t>Growth</t>
        </is>
      </c>
      <c r="B17">
        <f>Scenarios!C2-(Scenarios!C2-Scenarios!C5)*(B16-1)/9</f>
        <v/>
      </c>
      <c r="C17">
        <f>Scenarios!C2-(Scenarios!C2-Scenarios!C5)*(C16-1)/9</f>
        <v/>
      </c>
      <c r="D17">
        <f>Scenarios!C2-(Scenarios!C2-Scenarios!C5)*(D16-1)/9</f>
        <v/>
      </c>
      <c r="E17">
        <f>Scenarios!C2-(Scenarios!C2-Scenarios!C5)*(E16-1)/9</f>
        <v/>
      </c>
      <c r="F17">
        <f>Scenarios!C2-(Scenarios!C2-Scenarios!C5)*(F16-1)/9</f>
        <v/>
      </c>
      <c r="G17">
        <f>Scenarios!C2-(Scenarios!C2-Scenarios!C5)*(G16-1)/9</f>
        <v/>
      </c>
      <c r="H17">
        <f>Scenarios!C2-(Scenarios!C2-Scenarios!C5)*(H16-1)/9</f>
        <v/>
      </c>
      <c r="I17">
        <f>Scenarios!C2-(Scenarios!C2-Scenarios!C5)*(I16-1)/9</f>
        <v/>
      </c>
      <c r="J17">
        <f>Scenarios!C2-(Scenarios!C2-Scenarios!C5)*(J16-1)/9</f>
        <v/>
      </c>
      <c r="K17">
        <f>Scenarios!C2-(Scenarios!C2-Scenarios!C5)*(K16-1)/9</f>
        <v/>
      </c>
    </row>
    <row r="18">
      <c r="A18" t="inlineStr">
        <is>
          <t>Revenue</t>
        </is>
      </c>
      <c r="B18">
        <f>Inputs!B6*(1+B17)</f>
        <v/>
      </c>
      <c r="C18">
        <f>B18*(1+C17)</f>
        <v/>
      </c>
      <c r="D18">
        <f>C18*(1+D17)</f>
        <v/>
      </c>
      <c r="E18">
        <f>D18*(1+E17)</f>
        <v/>
      </c>
      <c r="F18">
        <f>E18*(1+F17)</f>
        <v/>
      </c>
      <c r="G18">
        <f>F18*(1+G17)</f>
        <v/>
      </c>
      <c r="H18">
        <f>G18*(1+H17)</f>
        <v/>
      </c>
      <c r="I18">
        <f>H18*(1+I17)</f>
        <v/>
      </c>
      <c r="J18">
        <f>I18*(1+J17)</f>
        <v/>
      </c>
      <c r="K18">
        <f>J18*(1+K17)</f>
        <v/>
      </c>
    </row>
    <row r="19">
      <c r="A19" t="inlineStr">
        <is>
          <t>FCF margin</t>
        </is>
      </c>
      <c r="B19">
        <f>Inputs!$B$14+(Scenarios!C3-Inputs!$B$14)*MIN(B16,5)/5</f>
        <v/>
      </c>
      <c r="C19">
        <f>Inputs!$B$14+(Scenarios!C3-Inputs!$B$14)*MIN(C16,5)/5</f>
        <v/>
      </c>
      <c r="D19">
        <f>Inputs!$B$14+(Scenarios!C3-Inputs!$B$14)*MIN(D16,5)/5</f>
        <v/>
      </c>
      <c r="E19">
        <f>Inputs!$B$14+(Scenarios!C3-Inputs!$B$14)*MIN(E16,5)/5</f>
        <v/>
      </c>
      <c r="F19">
        <f>Inputs!$B$14+(Scenarios!C3-Inputs!$B$14)*MIN(F16,5)/5</f>
        <v/>
      </c>
      <c r="G19">
        <f>Inputs!$B$14+(Scenarios!C3-Inputs!$B$14)*MIN(G16,5)/5</f>
        <v/>
      </c>
      <c r="H19">
        <f>Inputs!$B$14+(Scenarios!C3-Inputs!$B$14)*MIN(H16,5)/5</f>
        <v/>
      </c>
      <c r="I19">
        <f>Inputs!$B$14+(Scenarios!C3-Inputs!$B$14)*MIN(I16,5)/5</f>
        <v/>
      </c>
      <c r="J19">
        <f>Inputs!$B$14+(Scenarios!C3-Inputs!$B$14)*MIN(J16,5)/5</f>
        <v/>
      </c>
      <c r="K19">
        <f>Inputs!$B$14+(Scenarios!C3-Inputs!$B$14)*MIN(K16,5)/5</f>
        <v/>
      </c>
    </row>
    <row r="20">
      <c r="A20" t="inlineStr">
        <is>
          <t>FCF</t>
        </is>
      </c>
      <c r="B20">
        <f>B18*B19</f>
        <v/>
      </c>
      <c r="C20">
        <f>C18*C19</f>
        <v/>
      </c>
      <c r="D20">
        <f>D18*D19</f>
        <v/>
      </c>
      <c r="E20">
        <f>E18*E19</f>
        <v/>
      </c>
      <c r="F20">
        <f>F18*F19</f>
        <v/>
      </c>
      <c r="G20">
        <f>G18*G19</f>
        <v/>
      </c>
      <c r="H20">
        <f>H18*H19</f>
        <v/>
      </c>
      <c r="I20">
        <f>I18*I19</f>
        <v/>
      </c>
      <c r="J20">
        <f>J18*J19</f>
        <v/>
      </c>
      <c r="K20">
        <f>K18*K19</f>
        <v/>
      </c>
    </row>
    <row r="21">
      <c r="A21" t="inlineStr">
        <is>
          <t>Disc factor</t>
        </is>
      </c>
      <c r="B21">
        <f>1/(1+Scenarios!C4)^B16</f>
        <v/>
      </c>
      <c r="C21">
        <f>1/(1+Scenarios!C4)^C16</f>
        <v/>
      </c>
      <c r="D21">
        <f>1/(1+Scenarios!C4)^D16</f>
        <v/>
      </c>
      <c r="E21">
        <f>1/(1+Scenarios!C4)^E16</f>
        <v/>
      </c>
      <c r="F21">
        <f>1/(1+Scenarios!C4)^F16</f>
        <v/>
      </c>
      <c r="G21">
        <f>1/(1+Scenarios!C4)^G16</f>
        <v/>
      </c>
      <c r="H21">
        <f>1/(1+Scenarios!C4)^H16</f>
        <v/>
      </c>
      <c r="I21">
        <f>1/(1+Scenarios!C4)^I16</f>
        <v/>
      </c>
      <c r="J21">
        <f>1/(1+Scenarios!C4)^J16</f>
        <v/>
      </c>
      <c r="K21">
        <f>1/(1+Scenarios!C4)^K16</f>
        <v/>
      </c>
    </row>
    <row r="22">
      <c r="A22" t="inlineStr">
        <is>
          <t>PV FCF</t>
        </is>
      </c>
      <c r="B22">
        <f>B20*B21</f>
        <v/>
      </c>
      <c r="C22">
        <f>C20*C21</f>
        <v/>
      </c>
      <c r="D22">
        <f>D20*D21</f>
        <v/>
      </c>
      <c r="E22">
        <f>E20*E21</f>
        <v/>
      </c>
      <c r="F22">
        <f>F20*F21</f>
        <v/>
      </c>
      <c r="G22">
        <f>G20*G21</f>
        <v/>
      </c>
      <c r="H22">
        <f>H20*H21</f>
        <v/>
      </c>
      <c r="I22">
        <f>I20*I21</f>
        <v/>
      </c>
      <c r="J22">
        <f>J20*J21</f>
        <v/>
      </c>
      <c r="K22">
        <f>K20*K21</f>
        <v/>
      </c>
    </row>
    <row r="23">
      <c r="A23" t="inlineStr">
        <is>
          <t>Sum PV / TV / PV TV / EV / Equity</t>
        </is>
      </c>
      <c r="B23">
        <f>SUM(B22:K22)</f>
        <v/>
      </c>
      <c r="C23">
        <f>K20*(1+Scenarios!C5)/(Scenarios!C4-Scenarios!C5)</f>
        <v/>
      </c>
      <c r="D23">
        <f>C23*K21</f>
        <v/>
      </c>
      <c r="E23">
        <f>B23+D23</f>
        <v/>
      </c>
      <c r="F23">
        <f>E23+Inputs!$B$17</f>
        <v/>
      </c>
    </row>
    <row r="27">
      <c r="A27" s="4" t="inlineStr">
        <is>
          <t>Bull</t>
        </is>
      </c>
    </row>
    <row r="28">
      <c r="A28" s="1" t="inlineStr">
        <is>
          <t>Year</t>
        </is>
      </c>
      <c r="B28" s="1" t="n">
        <v>1</v>
      </c>
      <c r="C28" s="1" t="n">
        <v>2</v>
      </c>
      <c r="D28" s="1" t="n">
        <v>3</v>
      </c>
      <c r="E28" s="1" t="n">
        <v>4</v>
      </c>
      <c r="F28" s="1" t="n">
        <v>5</v>
      </c>
      <c r="G28" s="1" t="n">
        <v>6</v>
      </c>
      <c r="H28" s="1" t="n">
        <v>7</v>
      </c>
      <c r="I28" s="1" t="n">
        <v>8</v>
      </c>
      <c r="J28" s="1" t="n">
        <v>9</v>
      </c>
      <c r="K28" s="1" t="n">
        <v>10</v>
      </c>
    </row>
    <row r="29">
      <c r="A29" t="inlineStr">
        <is>
          <t>Growth</t>
        </is>
      </c>
      <c r="B29">
        <f>Scenarios!D2-(Scenarios!D2-Scenarios!D5)*(B28-1)/9</f>
        <v/>
      </c>
      <c r="C29">
        <f>Scenarios!D2-(Scenarios!D2-Scenarios!D5)*(C28-1)/9</f>
        <v/>
      </c>
      <c r="D29">
        <f>Scenarios!D2-(Scenarios!D2-Scenarios!D5)*(D28-1)/9</f>
        <v/>
      </c>
      <c r="E29">
        <f>Scenarios!D2-(Scenarios!D2-Scenarios!D5)*(E28-1)/9</f>
        <v/>
      </c>
      <c r="F29">
        <f>Scenarios!D2-(Scenarios!D2-Scenarios!D5)*(F28-1)/9</f>
        <v/>
      </c>
      <c r="G29">
        <f>Scenarios!D2-(Scenarios!D2-Scenarios!D5)*(G28-1)/9</f>
        <v/>
      </c>
      <c r="H29">
        <f>Scenarios!D2-(Scenarios!D2-Scenarios!D5)*(H28-1)/9</f>
        <v/>
      </c>
      <c r="I29">
        <f>Scenarios!D2-(Scenarios!D2-Scenarios!D5)*(I28-1)/9</f>
        <v/>
      </c>
      <c r="J29">
        <f>Scenarios!D2-(Scenarios!D2-Scenarios!D5)*(J28-1)/9</f>
        <v/>
      </c>
      <c r="K29">
        <f>Scenarios!D2-(Scenarios!D2-Scenarios!D5)*(K28-1)/9</f>
        <v/>
      </c>
    </row>
    <row r="30">
      <c r="A30" t="inlineStr">
        <is>
          <t>Revenue</t>
        </is>
      </c>
      <c r="B30">
        <f>Inputs!B6*(1+B29)</f>
        <v/>
      </c>
      <c r="C30">
        <f>B30*(1+C29)</f>
        <v/>
      </c>
      <c r="D30">
        <f>C30*(1+D29)</f>
        <v/>
      </c>
      <c r="E30">
        <f>D30*(1+E29)</f>
        <v/>
      </c>
      <c r="F30">
        <f>E30*(1+F29)</f>
        <v/>
      </c>
      <c r="G30">
        <f>F30*(1+G29)</f>
        <v/>
      </c>
      <c r="H30">
        <f>G30*(1+H29)</f>
        <v/>
      </c>
      <c r="I30">
        <f>H30*(1+I29)</f>
        <v/>
      </c>
      <c r="J30">
        <f>I30*(1+J29)</f>
        <v/>
      </c>
      <c r="K30">
        <f>J30*(1+K29)</f>
        <v/>
      </c>
    </row>
    <row r="31">
      <c r="A31" t="inlineStr">
        <is>
          <t>FCF margin</t>
        </is>
      </c>
      <c r="B31">
        <f>Inputs!$B$14+(Scenarios!D3-Inputs!$B$14)*MIN(B28,5)/5</f>
        <v/>
      </c>
      <c r="C31">
        <f>Inputs!$B$14+(Scenarios!D3-Inputs!$B$14)*MIN(C28,5)/5</f>
        <v/>
      </c>
      <c r="D31">
        <f>Inputs!$B$14+(Scenarios!D3-Inputs!$B$14)*MIN(D28,5)/5</f>
        <v/>
      </c>
      <c r="E31">
        <f>Inputs!$B$14+(Scenarios!D3-Inputs!$B$14)*MIN(E28,5)/5</f>
        <v/>
      </c>
      <c r="F31">
        <f>Inputs!$B$14+(Scenarios!D3-Inputs!$B$14)*MIN(F28,5)/5</f>
        <v/>
      </c>
      <c r="G31">
        <f>Inputs!$B$14+(Scenarios!D3-Inputs!$B$14)*MIN(G28,5)/5</f>
        <v/>
      </c>
      <c r="H31">
        <f>Inputs!$B$14+(Scenarios!D3-Inputs!$B$14)*MIN(H28,5)/5</f>
        <v/>
      </c>
      <c r="I31">
        <f>Inputs!$B$14+(Scenarios!D3-Inputs!$B$14)*MIN(I28,5)/5</f>
        <v/>
      </c>
      <c r="J31">
        <f>Inputs!$B$14+(Scenarios!D3-Inputs!$B$14)*MIN(J28,5)/5</f>
        <v/>
      </c>
      <c r="K31">
        <f>Inputs!$B$14+(Scenarios!D3-Inputs!$B$14)*MIN(K28,5)/5</f>
        <v/>
      </c>
    </row>
    <row r="32">
      <c r="A32" t="inlineStr">
        <is>
          <t>FCF</t>
        </is>
      </c>
      <c r="B32">
        <f>B30*B31</f>
        <v/>
      </c>
      <c r="C32">
        <f>C30*C31</f>
        <v/>
      </c>
      <c r="D32">
        <f>D30*D31</f>
        <v/>
      </c>
      <c r="E32">
        <f>E30*E31</f>
        <v/>
      </c>
      <c r="F32">
        <f>F30*F31</f>
        <v/>
      </c>
      <c r="G32">
        <f>G30*G31</f>
        <v/>
      </c>
      <c r="H32">
        <f>H30*H31</f>
        <v/>
      </c>
      <c r="I32">
        <f>I30*I31</f>
        <v/>
      </c>
      <c r="J32">
        <f>J30*J31</f>
        <v/>
      </c>
      <c r="K32">
        <f>K30*K31</f>
        <v/>
      </c>
    </row>
    <row r="33">
      <c r="A33" t="inlineStr">
        <is>
          <t>Disc factor</t>
        </is>
      </c>
      <c r="B33">
        <f>1/(1+Scenarios!D4)^B28</f>
        <v/>
      </c>
      <c r="C33">
        <f>1/(1+Scenarios!D4)^C28</f>
        <v/>
      </c>
      <c r="D33">
        <f>1/(1+Scenarios!D4)^D28</f>
        <v/>
      </c>
      <c r="E33">
        <f>1/(1+Scenarios!D4)^E28</f>
        <v/>
      </c>
      <c r="F33">
        <f>1/(1+Scenarios!D4)^F28</f>
        <v/>
      </c>
      <c r="G33">
        <f>1/(1+Scenarios!D4)^G28</f>
        <v/>
      </c>
      <c r="H33">
        <f>1/(1+Scenarios!D4)^H28</f>
        <v/>
      </c>
      <c r="I33">
        <f>1/(1+Scenarios!D4)^I28</f>
        <v/>
      </c>
      <c r="J33">
        <f>1/(1+Scenarios!D4)^J28</f>
        <v/>
      </c>
      <c r="K33">
        <f>1/(1+Scenarios!D4)^K28</f>
        <v/>
      </c>
    </row>
    <row r="34">
      <c r="A34" t="inlineStr">
        <is>
          <t>PV FCF</t>
        </is>
      </c>
      <c r="B34">
        <f>B32*B33</f>
        <v/>
      </c>
      <c r="C34">
        <f>C32*C33</f>
        <v/>
      </c>
      <c r="D34">
        <f>D32*D33</f>
        <v/>
      </c>
      <c r="E34">
        <f>E32*E33</f>
        <v/>
      </c>
      <c r="F34">
        <f>F32*F33</f>
        <v/>
      </c>
      <c r="G34">
        <f>G32*G33</f>
        <v/>
      </c>
      <c r="H34">
        <f>H32*H33</f>
        <v/>
      </c>
      <c r="I34">
        <f>I32*I33</f>
        <v/>
      </c>
      <c r="J34">
        <f>J32*J33</f>
        <v/>
      </c>
      <c r="K34">
        <f>K32*K33</f>
        <v/>
      </c>
    </row>
    <row r="35">
      <c r="A35" t="inlineStr">
        <is>
          <t>Sum PV / TV / PV TV / EV / Equity</t>
        </is>
      </c>
      <c r="B35">
        <f>SUM(B34:K34)</f>
        <v/>
      </c>
      <c r="C35">
        <f>K32*(1+Scenarios!D5)/(Scenarios!D4-Scenarios!D5)</f>
        <v/>
      </c>
      <c r="D35">
        <f>C35*K33</f>
        <v/>
      </c>
      <c r="E35">
        <f>B35+D35</f>
        <v/>
      </c>
      <c r="F35">
        <f>E35+Inputs!$B$17</f>
        <v/>
      </c>
    </row>
    <row r="40">
      <c r="A40" t="inlineStr">
        <is>
          <t>Bear value/share USD</t>
        </is>
      </c>
      <c r="C40">
        <f>F11*Inputs!$B$8/Inputs!$B$3*Inputs!$B$2</f>
        <v/>
      </c>
    </row>
    <row r="41">
      <c r="A41" t="inlineStr">
        <is>
          <t>Base value/share USD</t>
        </is>
      </c>
      <c r="C41">
        <f>F23*Inputs!$B$8/Inputs!$B$3*Inputs!$B$2</f>
        <v/>
      </c>
    </row>
    <row r="42">
      <c r="A42" t="inlineStr">
        <is>
          <t>Bull value/share USD</t>
        </is>
      </c>
      <c r="C42">
        <f>F35*Inputs!$B$8/Inputs!$B$3*Inputs!$B$2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9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Reverse DCF｜反向DCF: Base margin/WACC/terminal; vary Y1 growth. Implied growth = first g whose value ≥ price.</t>
        </is>
      </c>
      <c r="O1" t="inlineStr">
        <is>
          <t>Implied Y1 growth 隐含增速</t>
        </is>
      </c>
      <c r="P1">
        <f>IFERROR(INDEX(A4:A96,MATCH(Inputs!B2,M4:M96,1)+1),"out of grid")</f>
        <v/>
      </c>
    </row>
    <row r="2">
      <c r="O2" t="inlineStr">
        <is>
          <t>Consensus FY+1 growth</t>
        </is>
      </c>
      <c r="P2">
        <f>Inputs!B13</f>
        <v/>
      </c>
    </row>
    <row r="3">
      <c r="A3" s="1" t="inlineStr">
        <is>
          <t>Y1 g</t>
        </is>
      </c>
      <c r="B3" s="1" t="inlineStr">
        <is>
          <t>PV Y1</t>
        </is>
      </c>
      <c r="C3" s="1" t="inlineStr">
        <is>
          <t>PV Y2</t>
        </is>
      </c>
      <c r="D3" s="1" t="inlineStr">
        <is>
          <t>PV Y3</t>
        </is>
      </c>
      <c r="E3" s="1" t="inlineStr">
        <is>
          <t>PV Y4</t>
        </is>
      </c>
      <c r="F3" s="1" t="inlineStr">
        <is>
          <t>PV Y5</t>
        </is>
      </c>
      <c r="G3" s="1" t="inlineStr">
        <is>
          <t>PV Y6</t>
        </is>
      </c>
      <c r="H3" s="1" t="inlineStr">
        <is>
          <t>PV Y7</t>
        </is>
      </c>
      <c r="I3" s="1" t="inlineStr">
        <is>
          <t>PV Y8</t>
        </is>
      </c>
      <c r="J3" s="1" t="inlineStr">
        <is>
          <t>PV Y9</t>
        </is>
      </c>
      <c r="K3" s="1" t="inlineStr">
        <is>
          <t>PV Y10</t>
        </is>
      </c>
      <c r="L3" s="1" t="inlineStr">
        <is>
          <t>PV TV</t>
        </is>
      </c>
      <c r="M3" s="1" t="inlineStr">
        <is>
          <t>Value/share</t>
        </is>
      </c>
    </row>
    <row r="4">
      <c r="A4" t="n">
        <v>-0.3</v>
      </c>
      <c r="B4">
        <f>N4*(Inputs!$B$14+(Scenarios!$C$3-Inputs!$B$14)*MIN(1,5)/5)/(1+Scenarios!$C$4)^1</f>
        <v/>
      </c>
      <c r="C4">
        <f>O4*(Inputs!$B$14+(Scenarios!$C$3-Inputs!$B$14)*MIN(2,5)/5)/(1+Scenarios!$C$4)^2</f>
        <v/>
      </c>
      <c r="D4">
        <f>P4*(Inputs!$B$14+(Scenarios!$C$3-Inputs!$B$14)*MIN(3,5)/5)/(1+Scenarios!$C$4)^3</f>
        <v/>
      </c>
      <c r="E4">
        <f>Q4*(Inputs!$B$14+(Scenarios!$C$3-Inputs!$B$14)*MIN(4,5)/5)/(1+Scenarios!$C$4)^4</f>
        <v/>
      </c>
      <c r="F4">
        <f>R4*(Inputs!$B$14+(Scenarios!$C$3-Inputs!$B$14)*MIN(5,5)/5)/(1+Scenarios!$C$4)^5</f>
        <v/>
      </c>
      <c r="G4">
        <f>S4*(Inputs!$B$14+(Scenarios!$C$3-Inputs!$B$14)*MIN(6,5)/5)/(1+Scenarios!$C$4)^6</f>
        <v/>
      </c>
      <c r="H4">
        <f>T4*(Inputs!$B$14+(Scenarios!$C$3-Inputs!$B$14)*MIN(7,5)/5)/(1+Scenarios!$C$4)^7</f>
        <v/>
      </c>
      <c r="I4">
        <f>U4*(Inputs!$B$14+(Scenarios!$C$3-Inputs!$B$14)*MIN(8,5)/5)/(1+Scenarios!$C$4)^8</f>
        <v/>
      </c>
      <c r="J4">
        <f>V4*(Inputs!$B$14+(Scenarios!$C$3-Inputs!$B$14)*MIN(9,5)/5)/(1+Scenarios!$C$4)^9</f>
        <v/>
      </c>
      <c r="K4">
        <f>W4*(Inputs!$B$14+(Scenarios!$C$3-Inputs!$B$14)*MIN(10,5)/5)/(1+Scenarios!$C$4)^10</f>
        <v/>
      </c>
      <c r="L4">
        <f>W4*(Inputs!$B$14+(Scenarios!$C$3-Inputs!$B$14))*(1+Scenarios!$C$5)/(Scenarios!$C$4-Scenarios!$C$5)/(1+Scenarios!$C$4)^10</f>
        <v/>
      </c>
      <c r="M4">
        <f>(SUM(B4:L4)+Inputs!$B$17)*Inputs!$B$8/Inputs!$B$3*Inputs!$B$2</f>
        <v/>
      </c>
      <c r="N4">
        <f>Inputs!$B$6*(1+($A4-($A4-Scenarios!$C$5)*(1-1)/9))</f>
        <v/>
      </c>
      <c r="O4">
        <f>N4*(1+($A4-($A4-Scenarios!$C$5)*(2-1)/9))</f>
        <v/>
      </c>
      <c r="P4">
        <f>O4*(1+($A4-($A4-Scenarios!$C$5)*(3-1)/9))</f>
        <v/>
      </c>
      <c r="Q4">
        <f>P4*(1+($A4-($A4-Scenarios!$C$5)*(4-1)/9))</f>
        <v/>
      </c>
      <c r="R4">
        <f>Q4*(1+($A4-($A4-Scenarios!$C$5)*(5-1)/9))</f>
        <v/>
      </c>
      <c r="S4">
        <f>R4*(1+($A4-($A4-Scenarios!$C$5)*(6-1)/9))</f>
        <v/>
      </c>
      <c r="T4">
        <f>S4*(1+($A4-($A4-Scenarios!$C$5)*(7-1)/9))</f>
        <v/>
      </c>
      <c r="U4">
        <f>T4*(1+($A4-($A4-Scenarios!$C$5)*(8-1)/9))</f>
        <v/>
      </c>
      <c r="V4">
        <f>U4*(1+($A4-($A4-Scenarios!$C$5)*(9-1)/9))</f>
        <v/>
      </c>
      <c r="W4">
        <f>V4*(1+($A4-($A4-Scenarios!$C$5)*(10-1)/9))</f>
        <v/>
      </c>
    </row>
    <row r="5">
      <c r="A5" t="n">
        <v>-0.275</v>
      </c>
      <c r="B5">
        <f>N5*(Inputs!$B$14+(Scenarios!$C$3-Inputs!$B$14)*MIN(1,5)/5)/(1+Scenarios!$C$4)^1</f>
        <v/>
      </c>
      <c r="C5">
        <f>O5*(Inputs!$B$14+(Scenarios!$C$3-Inputs!$B$14)*MIN(2,5)/5)/(1+Scenarios!$C$4)^2</f>
        <v/>
      </c>
      <c r="D5">
        <f>P5*(Inputs!$B$14+(Scenarios!$C$3-Inputs!$B$14)*MIN(3,5)/5)/(1+Scenarios!$C$4)^3</f>
        <v/>
      </c>
      <c r="E5">
        <f>Q5*(Inputs!$B$14+(Scenarios!$C$3-Inputs!$B$14)*MIN(4,5)/5)/(1+Scenarios!$C$4)^4</f>
        <v/>
      </c>
      <c r="F5">
        <f>R5*(Inputs!$B$14+(Scenarios!$C$3-Inputs!$B$14)*MIN(5,5)/5)/(1+Scenarios!$C$4)^5</f>
        <v/>
      </c>
      <c r="G5">
        <f>S5*(Inputs!$B$14+(Scenarios!$C$3-Inputs!$B$14)*MIN(6,5)/5)/(1+Scenarios!$C$4)^6</f>
        <v/>
      </c>
      <c r="H5">
        <f>T5*(Inputs!$B$14+(Scenarios!$C$3-Inputs!$B$14)*MIN(7,5)/5)/(1+Scenarios!$C$4)^7</f>
        <v/>
      </c>
      <c r="I5">
        <f>U5*(Inputs!$B$14+(Scenarios!$C$3-Inputs!$B$14)*MIN(8,5)/5)/(1+Scenarios!$C$4)^8</f>
        <v/>
      </c>
      <c r="J5">
        <f>V5*(Inputs!$B$14+(Scenarios!$C$3-Inputs!$B$14)*MIN(9,5)/5)/(1+Scenarios!$C$4)^9</f>
        <v/>
      </c>
      <c r="K5">
        <f>W5*(Inputs!$B$14+(Scenarios!$C$3-Inputs!$B$14)*MIN(10,5)/5)/(1+Scenarios!$C$4)^10</f>
        <v/>
      </c>
      <c r="L5">
        <f>W5*(Inputs!$B$14+(Scenarios!$C$3-Inputs!$B$14))*(1+Scenarios!$C$5)/(Scenarios!$C$4-Scenarios!$C$5)/(1+Scenarios!$C$4)^10</f>
        <v/>
      </c>
      <c r="M5">
        <f>(SUM(B5:L5)+Inputs!$B$17)*Inputs!$B$8/Inputs!$B$3*Inputs!$B$2</f>
        <v/>
      </c>
      <c r="N5">
        <f>Inputs!$B$6*(1+($A5-($A5-Scenarios!$C$5)*(1-1)/9))</f>
        <v/>
      </c>
      <c r="O5">
        <f>N5*(1+($A5-($A5-Scenarios!$C$5)*(2-1)/9))</f>
        <v/>
      </c>
      <c r="P5">
        <f>O5*(1+($A5-($A5-Scenarios!$C$5)*(3-1)/9))</f>
        <v/>
      </c>
      <c r="Q5">
        <f>P5*(1+($A5-($A5-Scenarios!$C$5)*(4-1)/9))</f>
        <v/>
      </c>
      <c r="R5">
        <f>Q5*(1+($A5-($A5-Scenarios!$C$5)*(5-1)/9))</f>
        <v/>
      </c>
      <c r="S5">
        <f>R5*(1+($A5-($A5-Scenarios!$C$5)*(6-1)/9))</f>
        <v/>
      </c>
      <c r="T5">
        <f>S5*(1+($A5-($A5-Scenarios!$C$5)*(7-1)/9))</f>
        <v/>
      </c>
      <c r="U5">
        <f>T5*(1+($A5-($A5-Scenarios!$C$5)*(8-1)/9))</f>
        <v/>
      </c>
      <c r="V5">
        <f>U5*(1+($A5-($A5-Scenarios!$C$5)*(9-1)/9))</f>
        <v/>
      </c>
      <c r="W5">
        <f>V5*(1+($A5-($A5-Scenarios!$C$5)*(10-1)/9))</f>
        <v/>
      </c>
    </row>
    <row r="6">
      <c r="A6" t="n">
        <v>-0.25</v>
      </c>
      <c r="B6">
        <f>N6*(Inputs!$B$14+(Scenarios!$C$3-Inputs!$B$14)*MIN(1,5)/5)/(1+Scenarios!$C$4)^1</f>
        <v/>
      </c>
      <c r="C6">
        <f>O6*(Inputs!$B$14+(Scenarios!$C$3-Inputs!$B$14)*MIN(2,5)/5)/(1+Scenarios!$C$4)^2</f>
        <v/>
      </c>
      <c r="D6">
        <f>P6*(Inputs!$B$14+(Scenarios!$C$3-Inputs!$B$14)*MIN(3,5)/5)/(1+Scenarios!$C$4)^3</f>
        <v/>
      </c>
      <c r="E6">
        <f>Q6*(Inputs!$B$14+(Scenarios!$C$3-Inputs!$B$14)*MIN(4,5)/5)/(1+Scenarios!$C$4)^4</f>
        <v/>
      </c>
      <c r="F6">
        <f>R6*(Inputs!$B$14+(Scenarios!$C$3-Inputs!$B$14)*MIN(5,5)/5)/(1+Scenarios!$C$4)^5</f>
        <v/>
      </c>
      <c r="G6">
        <f>S6*(Inputs!$B$14+(Scenarios!$C$3-Inputs!$B$14)*MIN(6,5)/5)/(1+Scenarios!$C$4)^6</f>
        <v/>
      </c>
      <c r="H6">
        <f>T6*(Inputs!$B$14+(Scenarios!$C$3-Inputs!$B$14)*MIN(7,5)/5)/(1+Scenarios!$C$4)^7</f>
        <v/>
      </c>
      <c r="I6">
        <f>U6*(Inputs!$B$14+(Scenarios!$C$3-Inputs!$B$14)*MIN(8,5)/5)/(1+Scenarios!$C$4)^8</f>
        <v/>
      </c>
      <c r="J6">
        <f>V6*(Inputs!$B$14+(Scenarios!$C$3-Inputs!$B$14)*MIN(9,5)/5)/(1+Scenarios!$C$4)^9</f>
        <v/>
      </c>
      <c r="K6">
        <f>W6*(Inputs!$B$14+(Scenarios!$C$3-Inputs!$B$14)*MIN(10,5)/5)/(1+Scenarios!$C$4)^10</f>
        <v/>
      </c>
      <c r="L6">
        <f>W6*(Inputs!$B$14+(Scenarios!$C$3-Inputs!$B$14))*(1+Scenarios!$C$5)/(Scenarios!$C$4-Scenarios!$C$5)/(1+Scenarios!$C$4)^10</f>
        <v/>
      </c>
      <c r="M6">
        <f>(SUM(B6:L6)+Inputs!$B$17)*Inputs!$B$8/Inputs!$B$3*Inputs!$B$2</f>
        <v/>
      </c>
      <c r="N6">
        <f>Inputs!$B$6*(1+($A6-($A6-Scenarios!$C$5)*(1-1)/9))</f>
        <v/>
      </c>
      <c r="O6">
        <f>N6*(1+($A6-($A6-Scenarios!$C$5)*(2-1)/9))</f>
        <v/>
      </c>
      <c r="P6">
        <f>O6*(1+($A6-($A6-Scenarios!$C$5)*(3-1)/9))</f>
        <v/>
      </c>
      <c r="Q6">
        <f>P6*(1+($A6-($A6-Scenarios!$C$5)*(4-1)/9))</f>
        <v/>
      </c>
      <c r="R6">
        <f>Q6*(1+($A6-($A6-Scenarios!$C$5)*(5-1)/9))</f>
        <v/>
      </c>
      <c r="S6">
        <f>R6*(1+($A6-($A6-Scenarios!$C$5)*(6-1)/9))</f>
        <v/>
      </c>
      <c r="T6">
        <f>S6*(1+($A6-($A6-Scenarios!$C$5)*(7-1)/9))</f>
        <v/>
      </c>
      <c r="U6">
        <f>T6*(1+($A6-($A6-Scenarios!$C$5)*(8-1)/9))</f>
        <v/>
      </c>
      <c r="V6">
        <f>U6*(1+($A6-($A6-Scenarios!$C$5)*(9-1)/9))</f>
        <v/>
      </c>
      <c r="W6">
        <f>V6*(1+($A6-($A6-Scenarios!$C$5)*(10-1)/9))</f>
        <v/>
      </c>
    </row>
    <row r="7">
      <c r="A7" t="n">
        <v>-0.225</v>
      </c>
      <c r="B7">
        <f>N7*(Inputs!$B$14+(Scenarios!$C$3-Inputs!$B$14)*MIN(1,5)/5)/(1+Scenarios!$C$4)^1</f>
        <v/>
      </c>
      <c r="C7">
        <f>O7*(Inputs!$B$14+(Scenarios!$C$3-Inputs!$B$14)*MIN(2,5)/5)/(1+Scenarios!$C$4)^2</f>
        <v/>
      </c>
      <c r="D7">
        <f>P7*(Inputs!$B$14+(Scenarios!$C$3-Inputs!$B$14)*MIN(3,5)/5)/(1+Scenarios!$C$4)^3</f>
        <v/>
      </c>
      <c r="E7">
        <f>Q7*(Inputs!$B$14+(Scenarios!$C$3-Inputs!$B$14)*MIN(4,5)/5)/(1+Scenarios!$C$4)^4</f>
        <v/>
      </c>
      <c r="F7">
        <f>R7*(Inputs!$B$14+(Scenarios!$C$3-Inputs!$B$14)*MIN(5,5)/5)/(1+Scenarios!$C$4)^5</f>
        <v/>
      </c>
      <c r="G7">
        <f>S7*(Inputs!$B$14+(Scenarios!$C$3-Inputs!$B$14)*MIN(6,5)/5)/(1+Scenarios!$C$4)^6</f>
        <v/>
      </c>
      <c r="H7">
        <f>T7*(Inputs!$B$14+(Scenarios!$C$3-Inputs!$B$14)*MIN(7,5)/5)/(1+Scenarios!$C$4)^7</f>
        <v/>
      </c>
      <c r="I7">
        <f>U7*(Inputs!$B$14+(Scenarios!$C$3-Inputs!$B$14)*MIN(8,5)/5)/(1+Scenarios!$C$4)^8</f>
        <v/>
      </c>
      <c r="J7">
        <f>V7*(Inputs!$B$14+(Scenarios!$C$3-Inputs!$B$14)*MIN(9,5)/5)/(1+Scenarios!$C$4)^9</f>
        <v/>
      </c>
      <c r="K7">
        <f>W7*(Inputs!$B$14+(Scenarios!$C$3-Inputs!$B$14)*MIN(10,5)/5)/(1+Scenarios!$C$4)^10</f>
        <v/>
      </c>
      <c r="L7">
        <f>W7*(Inputs!$B$14+(Scenarios!$C$3-Inputs!$B$14))*(1+Scenarios!$C$5)/(Scenarios!$C$4-Scenarios!$C$5)/(1+Scenarios!$C$4)^10</f>
        <v/>
      </c>
      <c r="M7">
        <f>(SUM(B7:L7)+Inputs!$B$17)*Inputs!$B$8/Inputs!$B$3*Inputs!$B$2</f>
        <v/>
      </c>
      <c r="N7">
        <f>Inputs!$B$6*(1+($A7-($A7-Scenarios!$C$5)*(1-1)/9))</f>
        <v/>
      </c>
      <c r="O7">
        <f>N7*(1+($A7-($A7-Scenarios!$C$5)*(2-1)/9))</f>
        <v/>
      </c>
      <c r="P7">
        <f>O7*(1+($A7-($A7-Scenarios!$C$5)*(3-1)/9))</f>
        <v/>
      </c>
      <c r="Q7">
        <f>P7*(1+($A7-($A7-Scenarios!$C$5)*(4-1)/9))</f>
        <v/>
      </c>
      <c r="R7">
        <f>Q7*(1+($A7-($A7-Scenarios!$C$5)*(5-1)/9))</f>
        <v/>
      </c>
      <c r="S7">
        <f>R7*(1+($A7-($A7-Scenarios!$C$5)*(6-1)/9))</f>
        <v/>
      </c>
      <c r="T7">
        <f>S7*(1+($A7-($A7-Scenarios!$C$5)*(7-1)/9))</f>
        <v/>
      </c>
      <c r="U7">
        <f>T7*(1+($A7-($A7-Scenarios!$C$5)*(8-1)/9))</f>
        <v/>
      </c>
      <c r="V7">
        <f>U7*(1+($A7-($A7-Scenarios!$C$5)*(9-1)/9))</f>
        <v/>
      </c>
      <c r="W7">
        <f>V7*(1+($A7-($A7-Scenarios!$C$5)*(10-1)/9))</f>
        <v/>
      </c>
    </row>
    <row r="8">
      <c r="A8" t="n">
        <v>-0.2</v>
      </c>
      <c r="B8">
        <f>N8*(Inputs!$B$14+(Scenarios!$C$3-Inputs!$B$14)*MIN(1,5)/5)/(1+Scenarios!$C$4)^1</f>
        <v/>
      </c>
      <c r="C8">
        <f>O8*(Inputs!$B$14+(Scenarios!$C$3-Inputs!$B$14)*MIN(2,5)/5)/(1+Scenarios!$C$4)^2</f>
        <v/>
      </c>
      <c r="D8">
        <f>P8*(Inputs!$B$14+(Scenarios!$C$3-Inputs!$B$14)*MIN(3,5)/5)/(1+Scenarios!$C$4)^3</f>
        <v/>
      </c>
      <c r="E8">
        <f>Q8*(Inputs!$B$14+(Scenarios!$C$3-Inputs!$B$14)*MIN(4,5)/5)/(1+Scenarios!$C$4)^4</f>
        <v/>
      </c>
      <c r="F8">
        <f>R8*(Inputs!$B$14+(Scenarios!$C$3-Inputs!$B$14)*MIN(5,5)/5)/(1+Scenarios!$C$4)^5</f>
        <v/>
      </c>
      <c r="G8">
        <f>S8*(Inputs!$B$14+(Scenarios!$C$3-Inputs!$B$14)*MIN(6,5)/5)/(1+Scenarios!$C$4)^6</f>
        <v/>
      </c>
      <c r="H8">
        <f>T8*(Inputs!$B$14+(Scenarios!$C$3-Inputs!$B$14)*MIN(7,5)/5)/(1+Scenarios!$C$4)^7</f>
        <v/>
      </c>
      <c r="I8">
        <f>U8*(Inputs!$B$14+(Scenarios!$C$3-Inputs!$B$14)*MIN(8,5)/5)/(1+Scenarios!$C$4)^8</f>
        <v/>
      </c>
      <c r="J8">
        <f>V8*(Inputs!$B$14+(Scenarios!$C$3-Inputs!$B$14)*MIN(9,5)/5)/(1+Scenarios!$C$4)^9</f>
        <v/>
      </c>
      <c r="K8">
        <f>W8*(Inputs!$B$14+(Scenarios!$C$3-Inputs!$B$14)*MIN(10,5)/5)/(1+Scenarios!$C$4)^10</f>
        <v/>
      </c>
      <c r="L8">
        <f>W8*(Inputs!$B$14+(Scenarios!$C$3-Inputs!$B$14))*(1+Scenarios!$C$5)/(Scenarios!$C$4-Scenarios!$C$5)/(1+Scenarios!$C$4)^10</f>
        <v/>
      </c>
      <c r="M8">
        <f>(SUM(B8:L8)+Inputs!$B$17)*Inputs!$B$8/Inputs!$B$3*Inputs!$B$2</f>
        <v/>
      </c>
      <c r="N8">
        <f>Inputs!$B$6*(1+($A8-($A8-Scenarios!$C$5)*(1-1)/9))</f>
        <v/>
      </c>
      <c r="O8">
        <f>N8*(1+($A8-($A8-Scenarios!$C$5)*(2-1)/9))</f>
        <v/>
      </c>
      <c r="P8">
        <f>O8*(1+($A8-($A8-Scenarios!$C$5)*(3-1)/9))</f>
        <v/>
      </c>
      <c r="Q8">
        <f>P8*(1+($A8-($A8-Scenarios!$C$5)*(4-1)/9))</f>
        <v/>
      </c>
      <c r="R8">
        <f>Q8*(1+($A8-($A8-Scenarios!$C$5)*(5-1)/9))</f>
        <v/>
      </c>
      <c r="S8">
        <f>R8*(1+($A8-($A8-Scenarios!$C$5)*(6-1)/9))</f>
        <v/>
      </c>
      <c r="T8">
        <f>S8*(1+($A8-($A8-Scenarios!$C$5)*(7-1)/9))</f>
        <v/>
      </c>
      <c r="U8">
        <f>T8*(1+($A8-($A8-Scenarios!$C$5)*(8-1)/9))</f>
        <v/>
      </c>
      <c r="V8">
        <f>U8*(1+($A8-($A8-Scenarios!$C$5)*(9-1)/9))</f>
        <v/>
      </c>
      <c r="W8">
        <f>V8*(1+($A8-($A8-Scenarios!$C$5)*(10-1)/9))</f>
        <v/>
      </c>
    </row>
    <row r="9">
      <c r="A9" t="n">
        <v>-0.175</v>
      </c>
      <c r="B9">
        <f>N9*(Inputs!$B$14+(Scenarios!$C$3-Inputs!$B$14)*MIN(1,5)/5)/(1+Scenarios!$C$4)^1</f>
        <v/>
      </c>
      <c r="C9">
        <f>O9*(Inputs!$B$14+(Scenarios!$C$3-Inputs!$B$14)*MIN(2,5)/5)/(1+Scenarios!$C$4)^2</f>
        <v/>
      </c>
      <c r="D9">
        <f>P9*(Inputs!$B$14+(Scenarios!$C$3-Inputs!$B$14)*MIN(3,5)/5)/(1+Scenarios!$C$4)^3</f>
        <v/>
      </c>
      <c r="E9">
        <f>Q9*(Inputs!$B$14+(Scenarios!$C$3-Inputs!$B$14)*MIN(4,5)/5)/(1+Scenarios!$C$4)^4</f>
        <v/>
      </c>
      <c r="F9">
        <f>R9*(Inputs!$B$14+(Scenarios!$C$3-Inputs!$B$14)*MIN(5,5)/5)/(1+Scenarios!$C$4)^5</f>
        <v/>
      </c>
      <c r="G9">
        <f>S9*(Inputs!$B$14+(Scenarios!$C$3-Inputs!$B$14)*MIN(6,5)/5)/(1+Scenarios!$C$4)^6</f>
        <v/>
      </c>
      <c r="H9">
        <f>T9*(Inputs!$B$14+(Scenarios!$C$3-Inputs!$B$14)*MIN(7,5)/5)/(1+Scenarios!$C$4)^7</f>
        <v/>
      </c>
      <c r="I9">
        <f>U9*(Inputs!$B$14+(Scenarios!$C$3-Inputs!$B$14)*MIN(8,5)/5)/(1+Scenarios!$C$4)^8</f>
        <v/>
      </c>
      <c r="J9">
        <f>V9*(Inputs!$B$14+(Scenarios!$C$3-Inputs!$B$14)*MIN(9,5)/5)/(1+Scenarios!$C$4)^9</f>
        <v/>
      </c>
      <c r="K9">
        <f>W9*(Inputs!$B$14+(Scenarios!$C$3-Inputs!$B$14)*MIN(10,5)/5)/(1+Scenarios!$C$4)^10</f>
        <v/>
      </c>
      <c r="L9">
        <f>W9*(Inputs!$B$14+(Scenarios!$C$3-Inputs!$B$14))*(1+Scenarios!$C$5)/(Scenarios!$C$4-Scenarios!$C$5)/(1+Scenarios!$C$4)^10</f>
        <v/>
      </c>
      <c r="M9">
        <f>(SUM(B9:L9)+Inputs!$B$17)*Inputs!$B$8/Inputs!$B$3*Inputs!$B$2</f>
        <v/>
      </c>
      <c r="N9">
        <f>Inputs!$B$6*(1+($A9-($A9-Scenarios!$C$5)*(1-1)/9))</f>
        <v/>
      </c>
      <c r="O9">
        <f>N9*(1+($A9-($A9-Scenarios!$C$5)*(2-1)/9))</f>
        <v/>
      </c>
      <c r="P9">
        <f>O9*(1+($A9-($A9-Scenarios!$C$5)*(3-1)/9))</f>
        <v/>
      </c>
      <c r="Q9">
        <f>P9*(1+($A9-($A9-Scenarios!$C$5)*(4-1)/9))</f>
        <v/>
      </c>
      <c r="R9">
        <f>Q9*(1+($A9-($A9-Scenarios!$C$5)*(5-1)/9))</f>
        <v/>
      </c>
      <c r="S9">
        <f>R9*(1+($A9-($A9-Scenarios!$C$5)*(6-1)/9))</f>
        <v/>
      </c>
      <c r="T9">
        <f>S9*(1+($A9-($A9-Scenarios!$C$5)*(7-1)/9))</f>
        <v/>
      </c>
      <c r="U9">
        <f>T9*(1+($A9-($A9-Scenarios!$C$5)*(8-1)/9))</f>
        <v/>
      </c>
      <c r="V9">
        <f>U9*(1+($A9-($A9-Scenarios!$C$5)*(9-1)/9))</f>
        <v/>
      </c>
      <c r="W9">
        <f>V9*(1+($A9-($A9-Scenarios!$C$5)*(10-1)/9))</f>
        <v/>
      </c>
    </row>
    <row r="10">
      <c r="A10" t="n">
        <v>-0.15</v>
      </c>
      <c r="B10">
        <f>N10*(Inputs!$B$14+(Scenarios!$C$3-Inputs!$B$14)*MIN(1,5)/5)/(1+Scenarios!$C$4)^1</f>
        <v/>
      </c>
      <c r="C10">
        <f>O10*(Inputs!$B$14+(Scenarios!$C$3-Inputs!$B$14)*MIN(2,5)/5)/(1+Scenarios!$C$4)^2</f>
        <v/>
      </c>
      <c r="D10">
        <f>P10*(Inputs!$B$14+(Scenarios!$C$3-Inputs!$B$14)*MIN(3,5)/5)/(1+Scenarios!$C$4)^3</f>
        <v/>
      </c>
      <c r="E10">
        <f>Q10*(Inputs!$B$14+(Scenarios!$C$3-Inputs!$B$14)*MIN(4,5)/5)/(1+Scenarios!$C$4)^4</f>
        <v/>
      </c>
      <c r="F10">
        <f>R10*(Inputs!$B$14+(Scenarios!$C$3-Inputs!$B$14)*MIN(5,5)/5)/(1+Scenarios!$C$4)^5</f>
        <v/>
      </c>
      <c r="G10">
        <f>S10*(Inputs!$B$14+(Scenarios!$C$3-Inputs!$B$14)*MIN(6,5)/5)/(1+Scenarios!$C$4)^6</f>
        <v/>
      </c>
      <c r="H10">
        <f>T10*(Inputs!$B$14+(Scenarios!$C$3-Inputs!$B$14)*MIN(7,5)/5)/(1+Scenarios!$C$4)^7</f>
        <v/>
      </c>
      <c r="I10">
        <f>U10*(Inputs!$B$14+(Scenarios!$C$3-Inputs!$B$14)*MIN(8,5)/5)/(1+Scenarios!$C$4)^8</f>
        <v/>
      </c>
      <c r="J10">
        <f>V10*(Inputs!$B$14+(Scenarios!$C$3-Inputs!$B$14)*MIN(9,5)/5)/(1+Scenarios!$C$4)^9</f>
        <v/>
      </c>
      <c r="K10">
        <f>W10*(Inputs!$B$14+(Scenarios!$C$3-Inputs!$B$14)*MIN(10,5)/5)/(1+Scenarios!$C$4)^10</f>
        <v/>
      </c>
      <c r="L10">
        <f>W10*(Inputs!$B$14+(Scenarios!$C$3-Inputs!$B$14))*(1+Scenarios!$C$5)/(Scenarios!$C$4-Scenarios!$C$5)/(1+Scenarios!$C$4)^10</f>
        <v/>
      </c>
      <c r="M10">
        <f>(SUM(B10:L10)+Inputs!$B$17)*Inputs!$B$8/Inputs!$B$3*Inputs!$B$2</f>
        <v/>
      </c>
      <c r="N10">
        <f>Inputs!$B$6*(1+($A10-($A10-Scenarios!$C$5)*(1-1)/9))</f>
        <v/>
      </c>
      <c r="O10">
        <f>N10*(1+($A10-($A10-Scenarios!$C$5)*(2-1)/9))</f>
        <v/>
      </c>
      <c r="P10">
        <f>O10*(1+($A10-($A10-Scenarios!$C$5)*(3-1)/9))</f>
        <v/>
      </c>
      <c r="Q10">
        <f>P10*(1+($A10-($A10-Scenarios!$C$5)*(4-1)/9))</f>
        <v/>
      </c>
      <c r="R10">
        <f>Q10*(1+($A10-($A10-Scenarios!$C$5)*(5-1)/9))</f>
        <v/>
      </c>
      <c r="S10">
        <f>R10*(1+($A10-($A10-Scenarios!$C$5)*(6-1)/9))</f>
        <v/>
      </c>
      <c r="T10">
        <f>S10*(1+($A10-($A10-Scenarios!$C$5)*(7-1)/9))</f>
        <v/>
      </c>
      <c r="U10">
        <f>T10*(1+($A10-($A10-Scenarios!$C$5)*(8-1)/9))</f>
        <v/>
      </c>
      <c r="V10">
        <f>U10*(1+($A10-($A10-Scenarios!$C$5)*(9-1)/9))</f>
        <v/>
      </c>
      <c r="W10">
        <f>V10*(1+($A10-($A10-Scenarios!$C$5)*(10-1)/9))</f>
        <v/>
      </c>
    </row>
    <row r="11">
      <c r="A11" t="n">
        <v>-0.125</v>
      </c>
      <c r="B11">
        <f>N11*(Inputs!$B$14+(Scenarios!$C$3-Inputs!$B$14)*MIN(1,5)/5)/(1+Scenarios!$C$4)^1</f>
        <v/>
      </c>
      <c r="C11">
        <f>O11*(Inputs!$B$14+(Scenarios!$C$3-Inputs!$B$14)*MIN(2,5)/5)/(1+Scenarios!$C$4)^2</f>
        <v/>
      </c>
      <c r="D11">
        <f>P11*(Inputs!$B$14+(Scenarios!$C$3-Inputs!$B$14)*MIN(3,5)/5)/(1+Scenarios!$C$4)^3</f>
        <v/>
      </c>
      <c r="E11">
        <f>Q11*(Inputs!$B$14+(Scenarios!$C$3-Inputs!$B$14)*MIN(4,5)/5)/(1+Scenarios!$C$4)^4</f>
        <v/>
      </c>
      <c r="F11">
        <f>R11*(Inputs!$B$14+(Scenarios!$C$3-Inputs!$B$14)*MIN(5,5)/5)/(1+Scenarios!$C$4)^5</f>
        <v/>
      </c>
      <c r="G11">
        <f>S11*(Inputs!$B$14+(Scenarios!$C$3-Inputs!$B$14)*MIN(6,5)/5)/(1+Scenarios!$C$4)^6</f>
        <v/>
      </c>
      <c r="H11">
        <f>T11*(Inputs!$B$14+(Scenarios!$C$3-Inputs!$B$14)*MIN(7,5)/5)/(1+Scenarios!$C$4)^7</f>
        <v/>
      </c>
      <c r="I11">
        <f>U11*(Inputs!$B$14+(Scenarios!$C$3-Inputs!$B$14)*MIN(8,5)/5)/(1+Scenarios!$C$4)^8</f>
        <v/>
      </c>
      <c r="J11">
        <f>V11*(Inputs!$B$14+(Scenarios!$C$3-Inputs!$B$14)*MIN(9,5)/5)/(1+Scenarios!$C$4)^9</f>
        <v/>
      </c>
      <c r="K11">
        <f>W11*(Inputs!$B$14+(Scenarios!$C$3-Inputs!$B$14)*MIN(10,5)/5)/(1+Scenarios!$C$4)^10</f>
        <v/>
      </c>
      <c r="L11">
        <f>W11*(Inputs!$B$14+(Scenarios!$C$3-Inputs!$B$14))*(1+Scenarios!$C$5)/(Scenarios!$C$4-Scenarios!$C$5)/(1+Scenarios!$C$4)^10</f>
        <v/>
      </c>
      <c r="M11">
        <f>(SUM(B11:L11)+Inputs!$B$17)*Inputs!$B$8/Inputs!$B$3*Inputs!$B$2</f>
        <v/>
      </c>
      <c r="N11">
        <f>Inputs!$B$6*(1+($A11-($A11-Scenarios!$C$5)*(1-1)/9))</f>
        <v/>
      </c>
      <c r="O11">
        <f>N11*(1+($A11-($A11-Scenarios!$C$5)*(2-1)/9))</f>
        <v/>
      </c>
      <c r="P11">
        <f>O11*(1+($A11-($A11-Scenarios!$C$5)*(3-1)/9))</f>
        <v/>
      </c>
      <c r="Q11">
        <f>P11*(1+($A11-($A11-Scenarios!$C$5)*(4-1)/9))</f>
        <v/>
      </c>
      <c r="R11">
        <f>Q11*(1+($A11-($A11-Scenarios!$C$5)*(5-1)/9))</f>
        <v/>
      </c>
      <c r="S11">
        <f>R11*(1+($A11-($A11-Scenarios!$C$5)*(6-1)/9))</f>
        <v/>
      </c>
      <c r="T11">
        <f>S11*(1+($A11-($A11-Scenarios!$C$5)*(7-1)/9))</f>
        <v/>
      </c>
      <c r="U11">
        <f>T11*(1+($A11-($A11-Scenarios!$C$5)*(8-1)/9))</f>
        <v/>
      </c>
      <c r="V11">
        <f>U11*(1+($A11-($A11-Scenarios!$C$5)*(9-1)/9))</f>
        <v/>
      </c>
      <c r="W11">
        <f>V11*(1+($A11-($A11-Scenarios!$C$5)*(10-1)/9))</f>
        <v/>
      </c>
    </row>
    <row r="12">
      <c r="A12" t="n">
        <v>-0.1</v>
      </c>
      <c r="B12">
        <f>N12*(Inputs!$B$14+(Scenarios!$C$3-Inputs!$B$14)*MIN(1,5)/5)/(1+Scenarios!$C$4)^1</f>
        <v/>
      </c>
      <c r="C12">
        <f>O12*(Inputs!$B$14+(Scenarios!$C$3-Inputs!$B$14)*MIN(2,5)/5)/(1+Scenarios!$C$4)^2</f>
        <v/>
      </c>
      <c r="D12">
        <f>P12*(Inputs!$B$14+(Scenarios!$C$3-Inputs!$B$14)*MIN(3,5)/5)/(1+Scenarios!$C$4)^3</f>
        <v/>
      </c>
      <c r="E12">
        <f>Q12*(Inputs!$B$14+(Scenarios!$C$3-Inputs!$B$14)*MIN(4,5)/5)/(1+Scenarios!$C$4)^4</f>
        <v/>
      </c>
      <c r="F12">
        <f>R12*(Inputs!$B$14+(Scenarios!$C$3-Inputs!$B$14)*MIN(5,5)/5)/(1+Scenarios!$C$4)^5</f>
        <v/>
      </c>
      <c r="G12">
        <f>S12*(Inputs!$B$14+(Scenarios!$C$3-Inputs!$B$14)*MIN(6,5)/5)/(1+Scenarios!$C$4)^6</f>
        <v/>
      </c>
      <c r="H12">
        <f>T12*(Inputs!$B$14+(Scenarios!$C$3-Inputs!$B$14)*MIN(7,5)/5)/(1+Scenarios!$C$4)^7</f>
        <v/>
      </c>
      <c r="I12">
        <f>U12*(Inputs!$B$14+(Scenarios!$C$3-Inputs!$B$14)*MIN(8,5)/5)/(1+Scenarios!$C$4)^8</f>
        <v/>
      </c>
      <c r="J12">
        <f>V12*(Inputs!$B$14+(Scenarios!$C$3-Inputs!$B$14)*MIN(9,5)/5)/(1+Scenarios!$C$4)^9</f>
        <v/>
      </c>
      <c r="K12">
        <f>W12*(Inputs!$B$14+(Scenarios!$C$3-Inputs!$B$14)*MIN(10,5)/5)/(1+Scenarios!$C$4)^10</f>
        <v/>
      </c>
      <c r="L12">
        <f>W12*(Inputs!$B$14+(Scenarios!$C$3-Inputs!$B$14))*(1+Scenarios!$C$5)/(Scenarios!$C$4-Scenarios!$C$5)/(1+Scenarios!$C$4)^10</f>
        <v/>
      </c>
      <c r="M12">
        <f>(SUM(B12:L12)+Inputs!$B$17)*Inputs!$B$8/Inputs!$B$3*Inputs!$B$2</f>
        <v/>
      </c>
      <c r="N12">
        <f>Inputs!$B$6*(1+($A12-($A12-Scenarios!$C$5)*(1-1)/9))</f>
        <v/>
      </c>
      <c r="O12">
        <f>N12*(1+($A12-($A12-Scenarios!$C$5)*(2-1)/9))</f>
        <v/>
      </c>
      <c r="P12">
        <f>O12*(1+($A12-($A12-Scenarios!$C$5)*(3-1)/9))</f>
        <v/>
      </c>
      <c r="Q12">
        <f>P12*(1+($A12-($A12-Scenarios!$C$5)*(4-1)/9))</f>
        <v/>
      </c>
      <c r="R12">
        <f>Q12*(1+($A12-($A12-Scenarios!$C$5)*(5-1)/9))</f>
        <v/>
      </c>
      <c r="S12">
        <f>R12*(1+($A12-($A12-Scenarios!$C$5)*(6-1)/9))</f>
        <v/>
      </c>
      <c r="T12">
        <f>S12*(1+($A12-($A12-Scenarios!$C$5)*(7-1)/9))</f>
        <v/>
      </c>
      <c r="U12">
        <f>T12*(1+($A12-($A12-Scenarios!$C$5)*(8-1)/9))</f>
        <v/>
      </c>
      <c r="V12">
        <f>U12*(1+($A12-($A12-Scenarios!$C$5)*(9-1)/9))</f>
        <v/>
      </c>
      <c r="W12">
        <f>V12*(1+($A12-($A12-Scenarios!$C$5)*(10-1)/9))</f>
        <v/>
      </c>
    </row>
    <row r="13">
      <c r="A13" t="n">
        <v>-0.075</v>
      </c>
      <c r="B13">
        <f>N13*(Inputs!$B$14+(Scenarios!$C$3-Inputs!$B$14)*MIN(1,5)/5)/(1+Scenarios!$C$4)^1</f>
        <v/>
      </c>
      <c r="C13">
        <f>O13*(Inputs!$B$14+(Scenarios!$C$3-Inputs!$B$14)*MIN(2,5)/5)/(1+Scenarios!$C$4)^2</f>
        <v/>
      </c>
      <c r="D13">
        <f>P13*(Inputs!$B$14+(Scenarios!$C$3-Inputs!$B$14)*MIN(3,5)/5)/(1+Scenarios!$C$4)^3</f>
        <v/>
      </c>
      <c r="E13">
        <f>Q13*(Inputs!$B$14+(Scenarios!$C$3-Inputs!$B$14)*MIN(4,5)/5)/(1+Scenarios!$C$4)^4</f>
        <v/>
      </c>
      <c r="F13">
        <f>R13*(Inputs!$B$14+(Scenarios!$C$3-Inputs!$B$14)*MIN(5,5)/5)/(1+Scenarios!$C$4)^5</f>
        <v/>
      </c>
      <c r="G13">
        <f>S13*(Inputs!$B$14+(Scenarios!$C$3-Inputs!$B$14)*MIN(6,5)/5)/(1+Scenarios!$C$4)^6</f>
        <v/>
      </c>
      <c r="H13">
        <f>T13*(Inputs!$B$14+(Scenarios!$C$3-Inputs!$B$14)*MIN(7,5)/5)/(1+Scenarios!$C$4)^7</f>
        <v/>
      </c>
      <c r="I13">
        <f>U13*(Inputs!$B$14+(Scenarios!$C$3-Inputs!$B$14)*MIN(8,5)/5)/(1+Scenarios!$C$4)^8</f>
        <v/>
      </c>
      <c r="J13">
        <f>V13*(Inputs!$B$14+(Scenarios!$C$3-Inputs!$B$14)*MIN(9,5)/5)/(1+Scenarios!$C$4)^9</f>
        <v/>
      </c>
      <c r="K13">
        <f>W13*(Inputs!$B$14+(Scenarios!$C$3-Inputs!$B$14)*MIN(10,5)/5)/(1+Scenarios!$C$4)^10</f>
        <v/>
      </c>
      <c r="L13">
        <f>W13*(Inputs!$B$14+(Scenarios!$C$3-Inputs!$B$14))*(1+Scenarios!$C$5)/(Scenarios!$C$4-Scenarios!$C$5)/(1+Scenarios!$C$4)^10</f>
        <v/>
      </c>
      <c r="M13">
        <f>(SUM(B13:L13)+Inputs!$B$17)*Inputs!$B$8/Inputs!$B$3*Inputs!$B$2</f>
        <v/>
      </c>
      <c r="N13">
        <f>Inputs!$B$6*(1+($A13-($A13-Scenarios!$C$5)*(1-1)/9))</f>
        <v/>
      </c>
      <c r="O13">
        <f>N13*(1+($A13-($A13-Scenarios!$C$5)*(2-1)/9))</f>
        <v/>
      </c>
      <c r="P13">
        <f>O13*(1+($A13-($A13-Scenarios!$C$5)*(3-1)/9))</f>
        <v/>
      </c>
      <c r="Q13">
        <f>P13*(1+($A13-($A13-Scenarios!$C$5)*(4-1)/9))</f>
        <v/>
      </c>
      <c r="R13">
        <f>Q13*(1+($A13-($A13-Scenarios!$C$5)*(5-1)/9))</f>
        <v/>
      </c>
      <c r="S13">
        <f>R13*(1+($A13-($A13-Scenarios!$C$5)*(6-1)/9))</f>
        <v/>
      </c>
      <c r="T13">
        <f>S13*(1+($A13-($A13-Scenarios!$C$5)*(7-1)/9))</f>
        <v/>
      </c>
      <c r="U13">
        <f>T13*(1+($A13-($A13-Scenarios!$C$5)*(8-1)/9))</f>
        <v/>
      </c>
      <c r="V13">
        <f>U13*(1+($A13-($A13-Scenarios!$C$5)*(9-1)/9))</f>
        <v/>
      </c>
      <c r="W13">
        <f>V13*(1+($A13-($A13-Scenarios!$C$5)*(10-1)/9))</f>
        <v/>
      </c>
    </row>
    <row r="14">
      <c r="A14" t="n">
        <v>-0.05</v>
      </c>
      <c r="B14">
        <f>N14*(Inputs!$B$14+(Scenarios!$C$3-Inputs!$B$14)*MIN(1,5)/5)/(1+Scenarios!$C$4)^1</f>
        <v/>
      </c>
      <c r="C14">
        <f>O14*(Inputs!$B$14+(Scenarios!$C$3-Inputs!$B$14)*MIN(2,5)/5)/(1+Scenarios!$C$4)^2</f>
        <v/>
      </c>
      <c r="D14">
        <f>P14*(Inputs!$B$14+(Scenarios!$C$3-Inputs!$B$14)*MIN(3,5)/5)/(1+Scenarios!$C$4)^3</f>
        <v/>
      </c>
      <c r="E14">
        <f>Q14*(Inputs!$B$14+(Scenarios!$C$3-Inputs!$B$14)*MIN(4,5)/5)/(1+Scenarios!$C$4)^4</f>
        <v/>
      </c>
      <c r="F14">
        <f>R14*(Inputs!$B$14+(Scenarios!$C$3-Inputs!$B$14)*MIN(5,5)/5)/(1+Scenarios!$C$4)^5</f>
        <v/>
      </c>
      <c r="G14">
        <f>S14*(Inputs!$B$14+(Scenarios!$C$3-Inputs!$B$14)*MIN(6,5)/5)/(1+Scenarios!$C$4)^6</f>
        <v/>
      </c>
      <c r="H14">
        <f>T14*(Inputs!$B$14+(Scenarios!$C$3-Inputs!$B$14)*MIN(7,5)/5)/(1+Scenarios!$C$4)^7</f>
        <v/>
      </c>
      <c r="I14">
        <f>U14*(Inputs!$B$14+(Scenarios!$C$3-Inputs!$B$14)*MIN(8,5)/5)/(1+Scenarios!$C$4)^8</f>
        <v/>
      </c>
      <c r="J14">
        <f>V14*(Inputs!$B$14+(Scenarios!$C$3-Inputs!$B$14)*MIN(9,5)/5)/(1+Scenarios!$C$4)^9</f>
        <v/>
      </c>
      <c r="K14">
        <f>W14*(Inputs!$B$14+(Scenarios!$C$3-Inputs!$B$14)*MIN(10,5)/5)/(1+Scenarios!$C$4)^10</f>
        <v/>
      </c>
      <c r="L14">
        <f>W14*(Inputs!$B$14+(Scenarios!$C$3-Inputs!$B$14))*(1+Scenarios!$C$5)/(Scenarios!$C$4-Scenarios!$C$5)/(1+Scenarios!$C$4)^10</f>
        <v/>
      </c>
      <c r="M14">
        <f>(SUM(B14:L14)+Inputs!$B$17)*Inputs!$B$8/Inputs!$B$3*Inputs!$B$2</f>
        <v/>
      </c>
      <c r="N14">
        <f>Inputs!$B$6*(1+($A14-($A14-Scenarios!$C$5)*(1-1)/9))</f>
        <v/>
      </c>
      <c r="O14">
        <f>N14*(1+($A14-($A14-Scenarios!$C$5)*(2-1)/9))</f>
        <v/>
      </c>
      <c r="P14">
        <f>O14*(1+($A14-($A14-Scenarios!$C$5)*(3-1)/9))</f>
        <v/>
      </c>
      <c r="Q14">
        <f>P14*(1+($A14-($A14-Scenarios!$C$5)*(4-1)/9))</f>
        <v/>
      </c>
      <c r="R14">
        <f>Q14*(1+($A14-($A14-Scenarios!$C$5)*(5-1)/9))</f>
        <v/>
      </c>
      <c r="S14">
        <f>R14*(1+($A14-($A14-Scenarios!$C$5)*(6-1)/9))</f>
        <v/>
      </c>
      <c r="T14">
        <f>S14*(1+($A14-($A14-Scenarios!$C$5)*(7-1)/9))</f>
        <v/>
      </c>
      <c r="U14">
        <f>T14*(1+($A14-($A14-Scenarios!$C$5)*(8-1)/9))</f>
        <v/>
      </c>
      <c r="V14">
        <f>U14*(1+($A14-($A14-Scenarios!$C$5)*(9-1)/9))</f>
        <v/>
      </c>
      <c r="W14">
        <f>V14*(1+($A14-($A14-Scenarios!$C$5)*(10-1)/9))</f>
        <v/>
      </c>
    </row>
    <row r="15">
      <c r="A15" t="n">
        <v>-0.025</v>
      </c>
      <c r="B15">
        <f>N15*(Inputs!$B$14+(Scenarios!$C$3-Inputs!$B$14)*MIN(1,5)/5)/(1+Scenarios!$C$4)^1</f>
        <v/>
      </c>
      <c r="C15">
        <f>O15*(Inputs!$B$14+(Scenarios!$C$3-Inputs!$B$14)*MIN(2,5)/5)/(1+Scenarios!$C$4)^2</f>
        <v/>
      </c>
      <c r="D15">
        <f>P15*(Inputs!$B$14+(Scenarios!$C$3-Inputs!$B$14)*MIN(3,5)/5)/(1+Scenarios!$C$4)^3</f>
        <v/>
      </c>
      <c r="E15">
        <f>Q15*(Inputs!$B$14+(Scenarios!$C$3-Inputs!$B$14)*MIN(4,5)/5)/(1+Scenarios!$C$4)^4</f>
        <v/>
      </c>
      <c r="F15">
        <f>R15*(Inputs!$B$14+(Scenarios!$C$3-Inputs!$B$14)*MIN(5,5)/5)/(1+Scenarios!$C$4)^5</f>
        <v/>
      </c>
      <c r="G15">
        <f>S15*(Inputs!$B$14+(Scenarios!$C$3-Inputs!$B$14)*MIN(6,5)/5)/(1+Scenarios!$C$4)^6</f>
        <v/>
      </c>
      <c r="H15">
        <f>T15*(Inputs!$B$14+(Scenarios!$C$3-Inputs!$B$14)*MIN(7,5)/5)/(1+Scenarios!$C$4)^7</f>
        <v/>
      </c>
      <c r="I15">
        <f>U15*(Inputs!$B$14+(Scenarios!$C$3-Inputs!$B$14)*MIN(8,5)/5)/(1+Scenarios!$C$4)^8</f>
        <v/>
      </c>
      <c r="J15">
        <f>V15*(Inputs!$B$14+(Scenarios!$C$3-Inputs!$B$14)*MIN(9,5)/5)/(1+Scenarios!$C$4)^9</f>
        <v/>
      </c>
      <c r="K15">
        <f>W15*(Inputs!$B$14+(Scenarios!$C$3-Inputs!$B$14)*MIN(10,5)/5)/(1+Scenarios!$C$4)^10</f>
        <v/>
      </c>
      <c r="L15">
        <f>W15*(Inputs!$B$14+(Scenarios!$C$3-Inputs!$B$14))*(1+Scenarios!$C$5)/(Scenarios!$C$4-Scenarios!$C$5)/(1+Scenarios!$C$4)^10</f>
        <v/>
      </c>
      <c r="M15">
        <f>(SUM(B15:L15)+Inputs!$B$17)*Inputs!$B$8/Inputs!$B$3*Inputs!$B$2</f>
        <v/>
      </c>
      <c r="N15">
        <f>Inputs!$B$6*(1+($A15-($A15-Scenarios!$C$5)*(1-1)/9))</f>
        <v/>
      </c>
      <c r="O15">
        <f>N15*(1+($A15-($A15-Scenarios!$C$5)*(2-1)/9))</f>
        <v/>
      </c>
      <c r="P15">
        <f>O15*(1+($A15-($A15-Scenarios!$C$5)*(3-1)/9))</f>
        <v/>
      </c>
      <c r="Q15">
        <f>P15*(1+($A15-($A15-Scenarios!$C$5)*(4-1)/9))</f>
        <v/>
      </c>
      <c r="R15">
        <f>Q15*(1+($A15-($A15-Scenarios!$C$5)*(5-1)/9))</f>
        <v/>
      </c>
      <c r="S15">
        <f>R15*(1+($A15-($A15-Scenarios!$C$5)*(6-1)/9))</f>
        <v/>
      </c>
      <c r="T15">
        <f>S15*(1+($A15-($A15-Scenarios!$C$5)*(7-1)/9))</f>
        <v/>
      </c>
      <c r="U15">
        <f>T15*(1+($A15-($A15-Scenarios!$C$5)*(8-1)/9))</f>
        <v/>
      </c>
      <c r="V15">
        <f>U15*(1+($A15-($A15-Scenarios!$C$5)*(9-1)/9))</f>
        <v/>
      </c>
      <c r="W15">
        <f>V15*(1+($A15-($A15-Scenarios!$C$5)*(10-1)/9))</f>
        <v/>
      </c>
    </row>
    <row r="16">
      <c r="A16" t="n">
        <v>0</v>
      </c>
      <c r="B16">
        <f>N16*(Inputs!$B$14+(Scenarios!$C$3-Inputs!$B$14)*MIN(1,5)/5)/(1+Scenarios!$C$4)^1</f>
        <v/>
      </c>
      <c r="C16">
        <f>O16*(Inputs!$B$14+(Scenarios!$C$3-Inputs!$B$14)*MIN(2,5)/5)/(1+Scenarios!$C$4)^2</f>
        <v/>
      </c>
      <c r="D16">
        <f>P16*(Inputs!$B$14+(Scenarios!$C$3-Inputs!$B$14)*MIN(3,5)/5)/(1+Scenarios!$C$4)^3</f>
        <v/>
      </c>
      <c r="E16">
        <f>Q16*(Inputs!$B$14+(Scenarios!$C$3-Inputs!$B$14)*MIN(4,5)/5)/(1+Scenarios!$C$4)^4</f>
        <v/>
      </c>
      <c r="F16">
        <f>R16*(Inputs!$B$14+(Scenarios!$C$3-Inputs!$B$14)*MIN(5,5)/5)/(1+Scenarios!$C$4)^5</f>
        <v/>
      </c>
      <c r="G16">
        <f>S16*(Inputs!$B$14+(Scenarios!$C$3-Inputs!$B$14)*MIN(6,5)/5)/(1+Scenarios!$C$4)^6</f>
        <v/>
      </c>
      <c r="H16">
        <f>T16*(Inputs!$B$14+(Scenarios!$C$3-Inputs!$B$14)*MIN(7,5)/5)/(1+Scenarios!$C$4)^7</f>
        <v/>
      </c>
      <c r="I16">
        <f>U16*(Inputs!$B$14+(Scenarios!$C$3-Inputs!$B$14)*MIN(8,5)/5)/(1+Scenarios!$C$4)^8</f>
        <v/>
      </c>
      <c r="J16">
        <f>V16*(Inputs!$B$14+(Scenarios!$C$3-Inputs!$B$14)*MIN(9,5)/5)/(1+Scenarios!$C$4)^9</f>
        <v/>
      </c>
      <c r="K16">
        <f>W16*(Inputs!$B$14+(Scenarios!$C$3-Inputs!$B$14)*MIN(10,5)/5)/(1+Scenarios!$C$4)^10</f>
        <v/>
      </c>
      <c r="L16">
        <f>W16*(Inputs!$B$14+(Scenarios!$C$3-Inputs!$B$14))*(1+Scenarios!$C$5)/(Scenarios!$C$4-Scenarios!$C$5)/(1+Scenarios!$C$4)^10</f>
        <v/>
      </c>
      <c r="M16">
        <f>(SUM(B16:L16)+Inputs!$B$17)*Inputs!$B$8/Inputs!$B$3*Inputs!$B$2</f>
        <v/>
      </c>
      <c r="N16">
        <f>Inputs!$B$6*(1+($A16-($A16-Scenarios!$C$5)*(1-1)/9))</f>
        <v/>
      </c>
      <c r="O16">
        <f>N16*(1+($A16-($A16-Scenarios!$C$5)*(2-1)/9))</f>
        <v/>
      </c>
      <c r="P16">
        <f>O16*(1+($A16-($A16-Scenarios!$C$5)*(3-1)/9))</f>
        <v/>
      </c>
      <c r="Q16">
        <f>P16*(1+($A16-($A16-Scenarios!$C$5)*(4-1)/9))</f>
        <v/>
      </c>
      <c r="R16">
        <f>Q16*(1+($A16-($A16-Scenarios!$C$5)*(5-1)/9))</f>
        <v/>
      </c>
      <c r="S16">
        <f>R16*(1+($A16-($A16-Scenarios!$C$5)*(6-1)/9))</f>
        <v/>
      </c>
      <c r="T16">
        <f>S16*(1+($A16-($A16-Scenarios!$C$5)*(7-1)/9))</f>
        <v/>
      </c>
      <c r="U16">
        <f>T16*(1+($A16-($A16-Scenarios!$C$5)*(8-1)/9))</f>
        <v/>
      </c>
      <c r="V16">
        <f>U16*(1+($A16-($A16-Scenarios!$C$5)*(9-1)/9))</f>
        <v/>
      </c>
      <c r="W16">
        <f>V16*(1+($A16-($A16-Scenarios!$C$5)*(10-1)/9))</f>
        <v/>
      </c>
    </row>
    <row r="17">
      <c r="A17" t="n">
        <v>0.025</v>
      </c>
      <c r="B17">
        <f>N17*(Inputs!$B$14+(Scenarios!$C$3-Inputs!$B$14)*MIN(1,5)/5)/(1+Scenarios!$C$4)^1</f>
        <v/>
      </c>
      <c r="C17">
        <f>O17*(Inputs!$B$14+(Scenarios!$C$3-Inputs!$B$14)*MIN(2,5)/5)/(1+Scenarios!$C$4)^2</f>
        <v/>
      </c>
      <c r="D17">
        <f>P17*(Inputs!$B$14+(Scenarios!$C$3-Inputs!$B$14)*MIN(3,5)/5)/(1+Scenarios!$C$4)^3</f>
        <v/>
      </c>
      <c r="E17">
        <f>Q17*(Inputs!$B$14+(Scenarios!$C$3-Inputs!$B$14)*MIN(4,5)/5)/(1+Scenarios!$C$4)^4</f>
        <v/>
      </c>
      <c r="F17">
        <f>R17*(Inputs!$B$14+(Scenarios!$C$3-Inputs!$B$14)*MIN(5,5)/5)/(1+Scenarios!$C$4)^5</f>
        <v/>
      </c>
      <c r="G17">
        <f>S17*(Inputs!$B$14+(Scenarios!$C$3-Inputs!$B$14)*MIN(6,5)/5)/(1+Scenarios!$C$4)^6</f>
        <v/>
      </c>
      <c r="H17">
        <f>T17*(Inputs!$B$14+(Scenarios!$C$3-Inputs!$B$14)*MIN(7,5)/5)/(1+Scenarios!$C$4)^7</f>
        <v/>
      </c>
      <c r="I17">
        <f>U17*(Inputs!$B$14+(Scenarios!$C$3-Inputs!$B$14)*MIN(8,5)/5)/(1+Scenarios!$C$4)^8</f>
        <v/>
      </c>
      <c r="J17">
        <f>V17*(Inputs!$B$14+(Scenarios!$C$3-Inputs!$B$14)*MIN(9,5)/5)/(1+Scenarios!$C$4)^9</f>
        <v/>
      </c>
      <c r="K17">
        <f>W17*(Inputs!$B$14+(Scenarios!$C$3-Inputs!$B$14)*MIN(10,5)/5)/(1+Scenarios!$C$4)^10</f>
        <v/>
      </c>
      <c r="L17">
        <f>W17*(Inputs!$B$14+(Scenarios!$C$3-Inputs!$B$14))*(1+Scenarios!$C$5)/(Scenarios!$C$4-Scenarios!$C$5)/(1+Scenarios!$C$4)^10</f>
        <v/>
      </c>
      <c r="M17">
        <f>(SUM(B17:L17)+Inputs!$B$17)*Inputs!$B$8/Inputs!$B$3*Inputs!$B$2</f>
        <v/>
      </c>
      <c r="N17">
        <f>Inputs!$B$6*(1+($A17-($A17-Scenarios!$C$5)*(1-1)/9))</f>
        <v/>
      </c>
      <c r="O17">
        <f>N17*(1+($A17-($A17-Scenarios!$C$5)*(2-1)/9))</f>
        <v/>
      </c>
      <c r="P17">
        <f>O17*(1+($A17-($A17-Scenarios!$C$5)*(3-1)/9))</f>
        <v/>
      </c>
      <c r="Q17">
        <f>P17*(1+($A17-($A17-Scenarios!$C$5)*(4-1)/9))</f>
        <v/>
      </c>
      <c r="R17">
        <f>Q17*(1+($A17-($A17-Scenarios!$C$5)*(5-1)/9))</f>
        <v/>
      </c>
      <c r="S17">
        <f>R17*(1+($A17-($A17-Scenarios!$C$5)*(6-1)/9))</f>
        <v/>
      </c>
      <c r="T17">
        <f>S17*(1+($A17-($A17-Scenarios!$C$5)*(7-1)/9))</f>
        <v/>
      </c>
      <c r="U17">
        <f>T17*(1+($A17-($A17-Scenarios!$C$5)*(8-1)/9))</f>
        <v/>
      </c>
      <c r="V17">
        <f>U17*(1+($A17-($A17-Scenarios!$C$5)*(9-1)/9))</f>
        <v/>
      </c>
      <c r="W17">
        <f>V17*(1+($A17-($A17-Scenarios!$C$5)*(10-1)/9))</f>
        <v/>
      </c>
    </row>
    <row r="18">
      <c r="A18" t="n">
        <v>0.05</v>
      </c>
      <c r="B18">
        <f>N18*(Inputs!$B$14+(Scenarios!$C$3-Inputs!$B$14)*MIN(1,5)/5)/(1+Scenarios!$C$4)^1</f>
        <v/>
      </c>
      <c r="C18">
        <f>O18*(Inputs!$B$14+(Scenarios!$C$3-Inputs!$B$14)*MIN(2,5)/5)/(1+Scenarios!$C$4)^2</f>
        <v/>
      </c>
      <c r="D18">
        <f>P18*(Inputs!$B$14+(Scenarios!$C$3-Inputs!$B$14)*MIN(3,5)/5)/(1+Scenarios!$C$4)^3</f>
        <v/>
      </c>
      <c r="E18">
        <f>Q18*(Inputs!$B$14+(Scenarios!$C$3-Inputs!$B$14)*MIN(4,5)/5)/(1+Scenarios!$C$4)^4</f>
        <v/>
      </c>
      <c r="F18">
        <f>R18*(Inputs!$B$14+(Scenarios!$C$3-Inputs!$B$14)*MIN(5,5)/5)/(1+Scenarios!$C$4)^5</f>
        <v/>
      </c>
      <c r="G18">
        <f>S18*(Inputs!$B$14+(Scenarios!$C$3-Inputs!$B$14)*MIN(6,5)/5)/(1+Scenarios!$C$4)^6</f>
        <v/>
      </c>
      <c r="H18">
        <f>T18*(Inputs!$B$14+(Scenarios!$C$3-Inputs!$B$14)*MIN(7,5)/5)/(1+Scenarios!$C$4)^7</f>
        <v/>
      </c>
      <c r="I18">
        <f>U18*(Inputs!$B$14+(Scenarios!$C$3-Inputs!$B$14)*MIN(8,5)/5)/(1+Scenarios!$C$4)^8</f>
        <v/>
      </c>
      <c r="J18">
        <f>V18*(Inputs!$B$14+(Scenarios!$C$3-Inputs!$B$14)*MIN(9,5)/5)/(1+Scenarios!$C$4)^9</f>
        <v/>
      </c>
      <c r="K18">
        <f>W18*(Inputs!$B$14+(Scenarios!$C$3-Inputs!$B$14)*MIN(10,5)/5)/(1+Scenarios!$C$4)^10</f>
        <v/>
      </c>
      <c r="L18">
        <f>W18*(Inputs!$B$14+(Scenarios!$C$3-Inputs!$B$14))*(1+Scenarios!$C$5)/(Scenarios!$C$4-Scenarios!$C$5)/(1+Scenarios!$C$4)^10</f>
        <v/>
      </c>
      <c r="M18">
        <f>(SUM(B18:L18)+Inputs!$B$17)*Inputs!$B$8/Inputs!$B$3*Inputs!$B$2</f>
        <v/>
      </c>
      <c r="N18">
        <f>Inputs!$B$6*(1+($A18-($A18-Scenarios!$C$5)*(1-1)/9))</f>
        <v/>
      </c>
      <c r="O18">
        <f>N18*(1+($A18-($A18-Scenarios!$C$5)*(2-1)/9))</f>
        <v/>
      </c>
      <c r="P18">
        <f>O18*(1+($A18-($A18-Scenarios!$C$5)*(3-1)/9))</f>
        <v/>
      </c>
      <c r="Q18">
        <f>P18*(1+($A18-($A18-Scenarios!$C$5)*(4-1)/9))</f>
        <v/>
      </c>
      <c r="R18">
        <f>Q18*(1+($A18-($A18-Scenarios!$C$5)*(5-1)/9))</f>
        <v/>
      </c>
      <c r="S18">
        <f>R18*(1+($A18-($A18-Scenarios!$C$5)*(6-1)/9))</f>
        <v/>
      </c>
      <c r="T18">
        <f>S18*(1+($A18-($A18-Scenarios!$C$5)*(7-1)/9))</f>
        <v/>
      </c>
      <c r="U18">
        <f>T18*(1+($A18-($A18-Scenarios!$C$5)*(8-1)/9))</f>
        <v/>
      </c>
      <c r="V18">
        <f>U18*(1+($A18-($A18-Scenarios!$C$5)*(9-1)/9))</f>
        <v/>
      </c>
      <c r="W18">
        <f>V18*(1+($A18-($A18-Scenarios!$C$5)*(10-1)/9))</f>
        <v/>
      </c>
    </row>
    <row r="19">
      <c r="A19" t="n">
        <v>0.075</v>
      </c>
      <c r="B19">
        <f>N19*(Inputs!$B$14+(Scenarios!$C$3-Inputs!$B$14)*MIN(1,5)/5)/(1+Scenarios!$C$4)^1</f>
        <v/>
      </c>
      <c r="C19">
        <f>O19*(Inputs!$B$14+(Scenarios!$C$3-Inputs!$B$14)*MIN(2,5)/5)/(1+Scenarios!$C$4)^2</f>
        <v/>
      </c>
      <c r="D19">
        <f>P19*(Inputs!$B$14+(Scenarios!$C$3-Inputs!$B$14)*MIN(3,5)/5)/(1+Scenarios!$C$4)^3</f>
        <v/>
      </c>
      <c r="E19">
        <f>Q19*(Inputs!$B$14+(Scenarios!$C$3-Inputs!$B$14)*MIN(4,5)/5)/(1+Scenarios!$C$4)^4</f>
        <v/>
      </c>
      <c r="F19">
        <f>R19*(Inputs!$B$14+(Scenarios!$C$3-Inputs!$B$14)*MIN(5,5)/5)/(1+Scenarios!$C$4)^5</f>
        <v/>
      </c>
      <c r="G19">
        <f>S19*(Inputs!$B$14+(Scenarios!$C$3-Inputs!$B$14)*MIN(6,5)/5)/(1+Scenarios!$C$4)^6</f>
        <v/>
      </c>
      <c r="H19">
        <f>T19*(Inputs!$B$14+(Scenarios!$C$3-Inputs!$B$14)*MIN(7,5)/5)/(1+Scenarios!$C$4)^7</f>
        <v/>
      </c>
      <c r="I19">
        <f>U19*(Inputs!$B$14+(Scenarios!$C$3-Inputs!$B$14)*MIN(8,5)/5)/(1+Scenarios!$C$4)^8</f>
        <v/>
      </c>
      <c r="J19">
        <f>V19*(Inputs!$B$14+(Scenarios!$C$3-Inputs!$B$14)*MIN(9,5)/5)/(1+Scenarios!$C$4)^9</f>
        <v/>
      </c>
      <c r="K19">
        <f>W19*(Inputs!$B$14+(Scenarios!$C$3-Inputs!$B$14)*MIN(10,5)/5)/(1+Scenarios!$C$4)^10</f>
        <v/>
      </c>
      <c r="L19">
        <f>W19*(Inputs!$B$14+(Scenarios!$C$3-Inputs!$B$14))*(1+Scenarios!$C$5)/(Scenarios!$C$4-Scenarios!$C$5)/(1+Scenarios!$C$4)^10</f>
        <v/>
      </c>
      <c r="M19">
        <f>(SUM(B19:L19)+Inputs!$B$17)*Inputs!$B$8/Inputs!$B$3*Inputs!$B$2</f>
        <v/>
      </c>
      <c r="N19">
        <f>Inputs!$B$6*(1+($A19-($A19-Scenarios!$C$5)*(1-1)/9))</f>
        <v/>
      </c>
      <c r="O19">
        <f>N19*(1+($A19-($A19-Scenarios!$C$5)*(2-1)/9))</f>
        <v/>
      </c>
      <c r="P19">
        <f>O19*(1+($A19-($A19-Scenarios!$C$5)*(3-1)/9))</f>
        <v/>
      </c>
      <c r="Q19">
        <f>P19*(1+($A19-($A19-Scenarios!$C$5)*(4-1)/9))</f>
        <v/>
      </c>
      <c r="R19">
        <f>Q19*(1+($A19-($A19-Scenarios!$C$5)*(5-1)/9))</f>
        <v/>
      </c>
      <c r="S19">
        <f>R19*(1+($A19-($A19-Scenarios!$C$5)*(6-1)/9))</f>
        <v/>
      </c>
      <c r="T19">
        <f>S19*(1+($A19-($A19-Scenarios!$C$5)*(7-1)/9))</f>
        <v/>
      </c>
      <c r="U19">
        <f>T19*(1+($A19-($A19-Scenarios!$C$5)*(8-1)/9))</f>
        <v/>
      </c>
      <c r="V19">
        <f>U19*(1+($A19-($A19-Scenarios!$C$5)*(9-1)/9))</f>
        <v/>
      </c>
      <c r="W19">
        <f>V19*(1+($A19-($A19-Scenarios!$C$5)*(10-1)/9))</f>
        <v/>
      </c>
    </row>
    <row r="20">
      <c r="A20" t="n">
        <v>0.1</v>
      </c>
      <c r="B20">
        <f>N20*(Inputs!$B$14+(Scenarios!$C$3-Inputs!$B$14)*MIN(1,5)/5)/(1+Scenarios!$C$4)^1</f>
        <v/>
      </c>
      <c r="C20">
        <f>O20*(Inputs!$B$14+(Scenarios!$C$3-Inputs!$B$14)*MIN(2,5)/5)/(1+Scenarios!$C$4)^2</f>
        <v/>
      </c>
      <c r="D20">
        <f>P20*(Inputs!$B$14+(Scenarios!$C$3-Inputs!$B$14)*MIN(3,5)/5)/(1+Scenarios!$C$4)^3</f>
        <v/>
      </c>
      <c r="E20">
        <f>Q20*(Inputs!$B$14+(Scenarios!$C$3-Inputs!$B$14)*MIN(4,5)/5)/(1+Scenarios!$C$4)^4</f>
        <v/>
      </c>
      <c r="F20">
        <f>R20*(Inputs!$B$14+(Scenarios!$C$3-Inputs!$B$14)*MIN(5,5)/5)/(1+Scenarios!$C$4)^5</f>
        <v/>
      </c>
      <c r="G20">
        <f>S20*(Inputs!$B$14+(Scenarios!$C$3-Inputs!$B$14)*MIN(6,5)/5)/(1+Scenarios!$C$4)^6</f>
        <v/>
      </c>
      <c r="H20">
        <f>T20*(Inputs!$B$14+(Scenarios!$C$3-Inputs!$B$14)*MIN(7,5)/5)/(1+Scenarios!$C$4)^7</f>
        <v/>
      </c>
      <c r="I20">
        <f>U20*(Inputs!$B$14+(Scenarios!$C$3-Inputs!$B$14)*MIN(8,5)/5)/(1+Scenarios!$C$4)^8</f>
        <v/>
      </c>
      <c r="J20">
        <f>V20*(Inputs!$B$14+(Scenarios!$C$3-Inputs!$B$14)*MIN(9,5)/5)/(1+Scenarios!$C$4)^9</f>
        <v/>
      </c>
      <c r="K20">
        <f>W20*(Inputs!$B$14+(Scenarios!$C$3-Inputs!$B$14)*MIN(10,5)/5)/(1+Scenarios!$C$4)^10</f>
        <v/>
      </c>
      <c r="L20">
        <f>W20*(Inputs!$B$14+(Scenarios!$C$3-Inputs!$B$14))*(1+Scenarios!$C$5)/(Scenarios!$C$4-Scenarios!$C$5)/(1+Scenarios!$C$4)^10</f>
        <v/>
      </c>
      <c r="M20">
        <f>(SUM(B20:L20)+Inputs!$B$17)*Inputs!$B$8/Inputs!$B$3*Inputs!$B$2</f>
        <v/>
      </c>
      <c r="N20">
        <f>Inputs!$B$6*(1+($A20-($A20-Scenarios!$C$5)*(1-1)/9))</f>
        <v/>
      </c>
      <c r="O20">
        <f>N20*(1+($A20-($A20-Scenarios!$C$5)*(2-1)/9))</f>
        <v/>
      </c>
      <c r="P20">
        <f>O20*(1+($A20-($A20-Scenarios!$C$5)*(3-1)/9))</f>
        <v/>
      </c>
      <c r="Q20">
        <f>P20*(1+($A20-($A20-Scenarios!$C$5)*(4-1)/9))</f>
        <v/>
      </c>
      <c r="R20">
        <f>Q20*(1+($A20-($A20-Scenarios!$C$5)*(5-1)/9))</f>
        <v/>
      </c>
      <c r="S20">
        <f>R20*(1+($A20-($A20-Scenarios!$C$5)*(6-1)/9))</f>
        <v/>
      </c>
      <c r="T20">
        <f>S20*(1+($A20-($A20-Scenarios!$C$5)*(7-1)/9))</f>
        <v/>
      </c>
      <c r="U20">
        <f>T20*(1+($A20-($A20-Scenarios!$C$5)*(8-1)/9))</f>
        <v/>
      </c>
      <c r="V20">
        <f>U20*(1+($A20-($A20-Scenarios!$C$5)*(9-1)/9))</f>
        <v/>
      </c>
      <c r="W20">
        <f>V20*(1+($A20-($A20-Scenarios!$C$5)*(10-1)/9))</f>
        <v/>
      </c>
    </row>
    <row r="21">
      <c r="A21" t="n">
        <v>0.125</v>
      </c>
      <c r="B21">
        <f>N21*(Inputs!$B$14+(Scenarios!$C$3-Inputs!$B$14)*MIN(1,5)/5)/(1+Scenarios!$C$4)^1</f>
        <v/>
      </c>
      <c r="C21">
        <f>O21*(Inputs!$B$14+(Scenarios!$C$3-Inputs!$B$14)*MIN(2,5)/5)/(1+Scenarios!$C$4)^2</f>
        <v/>
      </c>
      <c r="D21">
        <f>P21*(Inputs!$B$14+(Scenarios!$C$3-Inputs!$B$14)*MIN(3,5)/5)/(1+Scenarios!$C$4)^3</f>
        <v/>
      </c>
      <c r="E21">
        <f>Q21*(Inputs!$B$14+(Scenarios!$C$3-Inputs!$B$14)*MIN(4,5)/5)/(1+Scenarios!$C$4)^4</f>
        <v/>
      </c>
      <c r="F21">
        <f>R21*(Inputs!$B$14+(Scenarios!$C$3-Inputs!$B$14)*MIN(5,5)/5)/(1+Scenarios!$C$4)^5</f>
        <v/>
      </c>
      <c r="G21">
        <f>S21*(Inputs!$B$14+(Scenarios!$C$3-Inputs!$B$14)*MIN(6,5)/5)/(1+Scenarios!$C$4)^6</f>
        <v/>
      </c>
      <c r="H21">
        <f>T21*(Inputs!$B$14+(Scenarios!$C$3-Inputs!$B$14)*MIN(7,5)/5)/(1+Scenarios!$C$4)^7</f>
        <v/>
      </c>
      <c r="I21">
        <f>U21*(Inputs!$B$14+(Scenarios!$C$3-Inputs!$B$14)*MIN(8,5)/5)/(1+Scenarios!$C$4)^8</f>
        <v/>
      </c>
      <c r="J21">
        <f>V21*(Inputs!$B$14+(Scenarios!$C$3-Inputs!$B$14)*MIN(9,5)/5)/(1+Scenarios!$C$4)^9</f>
        <v/>
      </c>
      <c r="K21">
        <f>W21*(Inputs!$B$14+(Scenarios!$C$3-Inputs!$B$14)*MIN(10,5)/5)/(1+Scenarios!$C$4)^10</f>
        <v/>
      </c>
      <c r="L21">
        <f>W21*(Inputs!$B$14+(Scenarios!$C$3-Inputs!$B$14))*(1+Scenarios!$C$5)/(Scenarios!$C$4-Scenarios!$C$5)/(1+Scenarios!$C$4)^10</f>
        <v/>
      </c>
      <c r="M21">
        <f>(SUM(B21:L21)+Inputs!$B$17)*Inputs!$B$8/Inputs!$B$3*Inputs!$B$2</f>
        <v/>
      </c>
      <c r="N21">
        <f>Inputs!$B$6*(1+($A21-($A21-Scenarios!$C$5)*(1-1)/9))</f>
        <v/>
      </c>
      <c r="O21">
        <f>N21*(1+($A21-($A21-Scenarios!$C$5)*(2-1)/9))</f>
        <v/>
      </c>
      <c r="P21">
        <f>O21*(1+($A21-($A21-Scenarios!$C$5)*(3-1)/9))</f>
        <v/>
      </c>
      <c r="Q21">
        <f>P21*(1+($A21-($A21-Scenarios!$C$5)*(4-1)/9))</f>
        <v/>
      </c>
      <c r="R21">
        <f>Q21*(1+($A21-($A21-Scenarios!$C$5)*(5-1)/9))</f>
        <v/>
      </c>
      <c r="S21">
        <f>R21*(1+($A21-($A21-Scenarios!$C$5)*(6-1)/9))</f>
        <v/>
      </c>
      <c r="T21">
        <f>S21*(1+($A21-($A21-Scenarios!$C$5)*(7-1)/9))</f>
        <v/>
      </c>
      <c r="U21">
        <f>T21*(1+($A21-($A21-Scenarios!$C$5)*(8-1)/9))</f>
        <v/>
      </c>
      <c r="V21">
        <f>U21*(1+($A21-($A21-Scenarios!$C$5)*(9-1)/9))</f>
        <v/>
      </c>
      <c r="W21">
        <f>V21*(1+($A21-($A21-Scenarios!$C$5)*(10-1)/9))</f>
        <v/>
      </c>
    </row>
    <row r="22">
      <c r="A22" t="n">
        <v>0.15</v>
      </c>
      <c r="B22">
        <f>N22*(Inputs!$B$14+(Scenarios!$C$3-Inputs!$B$14)*MIN(1,5)/5)/(1+Scenarios!$C$4)^1</f>
        <v/>
      </c>
      <c r="C22">
        <f>O22*(Inputs!$B$14+(Scenarios!$C$3-Inputs!$B$14)*MIN(2,5)/5)/(1+Scenarios!$C$4)^2</f>
        <v/>
      </c>
      <c r="D22">
        <f>P22*(Inputs!$B$14+(Scenarios!$C$3-Inputs!$B$14)*MIN(3,5)/5)/(1+Scenarios!$C$4)^3</f>
        <v/>
      </c>
      <c r="E22">
        <f>Q22*(Inputs!$B$14+(Scenarios!$C$3-Inputs!$B$14)*MIN(4,5)/5)/(1+Scenarios!$C$4)^4</f>
        <v/>
      </c>
      <c r="F22">
        <f>R22*(Inputs!$B$14+(Scenarios!$C$3-Inputs!$B$14)*MIN(5,5)/5)/(1+Scenarios!$C$4)^5</f>
        <v/>
      </c>
      <c r="G22">
        <f>S22*(Inputs!$B$14+(Scenarios!$C$3-Inputs!$B$14)*MIN(6,5)/5)/(1+Scenarios!$C$4)^6</f>
        <v/>
      </c>
      <c r="H22">
        <f>T22*(Inputs!$B$14+(Scenarios!$C$3-Inputs!$B$14)*MIN(7,5)/5)/(1+Scenarios!$C$4)^7</f>
        <v/>
      </c>
      <c r="I22">
        <f>U22*(Inputs!$B$14+(Scenarios!$C$3-Inputs!$B$14)*MIN(8,5)/5)/(1+Scenarios!$C$4)^8</f>
        <v/>
      </c>
      <c r="J22">
        <f>V22*(Inputs!$B$14+(Scenarios!$C$3-Inputs!$B$14)*MIN(9,5)/5)/(1+Scenarios!$C$4)^9</f>
        <v/>
      </c>
      <c r="K22">
        <f>W22*(Inputs!$B$14+(Scenarios!$C$3-Inputs!$B$14)*MIN(10,5)/5)/(1+Scenarios!$C$4)^10</f>
        <v/>
      </c>
      <c r="L22">
        <f>W22*(Inputs!$B$14+(Scenarios!$C$3-Inputs!$B$14))*(1+Scenarios!$C$5)/(Scenarios!$C$4-Scenarios!$C$5)/(1+Scenarios!$C$4)^10</f>
        <v/>
      </c>
      <c r="M22">
        <f>(SUM(B22:L22)+Inputs!$B$17)*Inputs!$B$8/Inputs!$B$3*Inputs!$B$2</f>
        <v/>
      </c>
      <c r="N22">
        <f>Inputs!$B$6*(1+($A22-($A22-Scenarios!$C$5)*(1-1)/9))</f>
        <v/>
      </c>
      <c r="O22">
        <f>N22*(1+($A22-($A22-Scenarios!$C$5)*(2-1)/9))</f>
        <v/>
      </c>
      <c r="P22">
        <f>O22*(1+($A22-($A22-Scenarios!$C$5)*(3-1)/9))</f>
        <v/>
      </c>
      <c r="Q22">
        <f>P22*(1+($A22-($A22-Scenarios!$C$5)*(4-1)/9))</f>
        <v/>
      </c>
      <c r="R22">
        <f>Q22*(1+($A22-($A22-Scenarios!$C$5)*(5-1)/9))</f>
        <v/>
      </c>
      <c r="S22">
        <f>R22*(1+($A22-($A22-Scenarios!$C$5)*(6-1)/9))</f>
        <v/>
      </c>
      <c r="T22">
        <f>S22*(1+($A22-($A22-Scenarios!$C$5)*(7-1)/9))</f>
        <v/>
      </c>
      <c r="U22">
        <f>T22*(1+($A22-($A22-Scenarios!$C$5)*(8-1)/9))</f>
        <v/>
      </c>
      <c r="V22">
        <f>U22*(1+($A22-($A22-Scenarios!$C$5)*(9-1)/9))</f>
        <v/>
      </c>
      <c r="W22">
        <f>V22*(1+($A22-($A22-Scenarios!$C$5)*(10-1)/9))</f>
        <v/>
      </c>
    </row>
    <row r="23">
      <c r="A23" t="n">
        <v>0.175</v>
      </c>
      <c r="B23">
        <f>N23*(Inputs!$B$14+(Scenarios!$C$3-Inputs!$B$14)*MIN(1,5)/5)/(1+Scenarios!$C$4)^1</f>
        <v/>
      </c>
      <c r="C23">
        <f>O23*(Inputs!$B$14+(Scenarios!$C$3-Inputs!$B$14)*MIN(2,5)/5)/(1+Scenarios!$C$4)^2</f>
        <v/>
      </c>
      <c r="D23">
        <f>P23*(Inputs!$B$14+(Scenarios!$C$3-Inputs!$B$14)*MIN(3,5)/5)/(1+Scenarios!$C$4)^3</f>
        <v/>
      </c>
      <c r="E23">
        <f>Q23*(Inputs!$B$14+(Scenarios!$C$3-Inputs!$B$14)*MIN(4,5)/5)/(1+Scenarios!$C$4)^4</f>
        <v/>
      </c>
      <c r="F23">
        <f>R23*(Inputs!$B$14+(Scenarios!$C$3-Inputs!$B$14)*MIN(5,5)/5)/(1+Scenarios!$C$4)^5</f>
        <v/>
      </c>
      <c r="G23">
        <f>S23*(Inputs!$B$14+(Scenarios!$C$3-Inputs!$B$14)*MIN(6,5)/5)/(1+Scenarios!$C$4)^6</f>
        <v/>
      </c>
      <c r="H23">
        <f>T23*(Inputs!$B$14+(Scenarios!$C$3-Inputs!$B$14)*MIN(7,5)/5)/(1+Scenarios!$C$4)^7</f>
        <v/>
      </c>
      <c r="I23">
        <f>U23*(Inputs!$B$14+(Scenarios!$C$3-Inputs!$B$14)*MIN(8,5)/5)/(1+Scenarios!$C$4)^8</f>
        <v/>
      </c>
      <c r="J23">
        <f>V23*(Inputs!$B$14+(Scenarios!$C$3-Inputs!$B$14)*MIN(9,5)/5)/(1+Scenarios!$C$4)^9</f>
        <v/>
      </c>
      <c r="K23">
        <f>W23*(Inputs!$B$14+(Scenarios!$C$3-Inputs!$B$14)*MIN(10,5)/5)/(1+Scenarios!$C$4)^10</f>
        <v/>
      </c>
      <c r="L23">
        <f>W23*(Inputs!$B$14+(Scenarios!$C$3-Inputs!$B$14))*(1+Scenarios!$C$5)/(Scenarios!$C$4-Scenarios!$C$5)/(1+Scenarios!$C$4)^10</f>
        <v/>
      </c>
      <c r="M23">
        <f>(SUM(B23:L23)+Inputs!$B$17)*Inputs!$B$8/Inputs!$B$3*Inputs!$B$2</f>
        <v/>
      </c>
      <c r="N23">
        <f>Inputs!$B$6*(1+($A23-($A23-Scenarios!$C$5)*(1-1)/9))</f>
        <v/>
      </c>
      <c r="O23">
        <f>N23*(1+($A23-($A23-Scenarios!$C$5)*(2-1)/9))</f>
        <v/>
      </c>
      <c r="P23">
        <f>O23*(1+($A23-($A23-Scenarios!$C$5)*(3-1)/9))</f>
        <v/>
      </c>
      <c r="Q23">
        <f>P23*(1+($A23-($A23-Scenarios!$C$5)*(4-1)/9))</f>
        <v/>
      </c>
      <c r="R23">
        <f>Q23*(1+($A23-($A23-Scenarios!$C$5)*(5-1)/9))</f>
        <v/>
      </c>
      <c r="S23">
        <f>R23*(1+($A23-($A23-Scenarios!$C$5)*(6-1)/9))</f>
        <v/>
      </c>
      <c r="T23">
        <f>S23*(1+($A23-($A23-Scenarios!$C$5)*(7-1)/9))</f>
        <v/>
      </c>
      <c r="U23">
        <f>T23*(1+($A23-($A23-Scenarios!$C$5)*(8-1)/9))</f>
        <v/>
      </c>
      <c r="V23">
        <f>U23*(1+($A23-($A23-Scenarios!$C$5)*(9-1)/9))</f>
        <v/>
      </c>
      <c r="W23">
        <f>V23*(1+($A23-($A23-Scenarios!$C$5)*(10-1)/9))</f>
        <v/>
      </c>
    </row>
    <row r="24">
      <c r="A24" t="n">
        <v>0.2</v>
      </c>
      <c r="B24">
        <f>N24*(Inputs!$B$14+(Scenarios!$C$3-Inputs!$B$14)*MIN(1,5)/5)/(1+Scenarios!$C$4)^1</f>
        <v/>
      </c>
      <c r="C24">
        <f>O24*(Inputs!$B$14+(Scenarios!$C$3-Inputs!$B$14)*MIN(2,5)/5)/(1+Scenarios!$C$4)^2</f>
        <v/>
      </c>
      <c r="D24">
        <f>P24*(Inputs!$B$14+(Scenarios!$C$3-Inputs!$B$14)*MIN(3,5)/5)/(1+Scenarios!$C$4)^3</f>
        <v/>
      </c>
      <c r="E24">
        <f>Q24*(Inputs!$B$14+(Scenarios!$C$3-Inputs!$B$14)*MIN(4,5)/5)/(1+Scenarios!$C$4)^4</f>
        <v/>
      </c>
      <c r="F24">
        <f>R24*(Inputs!$B$14+(Scenarios!$C$3-Inputs!$B$14)*MIN(5,5)/5)/(1+Scenarios!$C$4)^5</f>
        <v/>
      </c>
      <c r="G24">
        <f>S24*(Inputs!$B$14+(Scenarios!$C$3-Inputs!$B$14)*MIN(6,5)/5)/(1+Scenarios!$C$4)^6</f>
        <v/>
      </c>
      <c r="H24">
        <f>T24*(Inputs!$B$14+(Scenarios!$C$3-Inputs!$B$14)*MIN(7,5)/5)/(1+Scenarios!$C$4)^7</f>
        <v/>
      </c>
      <c r="I24">
        <f>U24*(Inputs!$B$14+(Scenarios!$C$3-Inputs!$B$14)*MIN(8,5)/5)/(1+Scenarios!$C$4)^8</f>
        <v/>
      </c>
      <c r="J24">
        <f>V24*(Inputs!$B$14+(Scenarios!$C$3-Inputs!$B$14)*MIN(9,5)/5)/(1+Scenarios!$C$4)^9</f>
        <v/>
      </c>
      <c r="K24">
        <f>W24*(Inputs!$B$14+(Scenarios!$C$3-Inputs!$B$14)*MIN(10,5)/5)/(1+Scenarios!$C$4)^10</f>
        <v/>
      </c>
      <c r="L24">
        <f>W24*(Inputs!$B$14+(Scenarios!$C$3-Inputs!$B$14))*(1+Scenarios!$C$5)/(Scenarios!$C$4-Scenarios!$C$5)/(1+Scenarios!$C$4)^10</f>
        <v/>
      </c>
      <c r="M24">
        <f>(SUM(B24:L24)+Inputs!$B$17)*Inputs!$B$8/Inputs!$B$3*Inputs!$B$2</f>
        <v/>
      </c>
      <c r="N24">
        <f>Inputs!$B$6*(1+($A24-($A24-Scenarios!$C$5)*(1-1)/9))</f>
        <v/>
      </c>
      <c r="O24">
        <f>N24*(1+($A24-($A24-Scenarios!$C$5)*(2-1)/9))</f>
        <v/>
      </c>
      <c r="P24">
        <f>O24*(1+($A24-($A24-Scenarios!$C$5)*(3-1)/9))</f>
        <v/>
      </c>
      <c r="Q24">
        <f>P24*(1+($A24-($A24-Scenarios!$C$5)*(4-1)/9))</f>
        <v/>
      </c>
      <c r="R24">
        <f>Q24*(1+($A24-($A24-Scenarios!$C$5)*(5-1)/9))</f>
        <v/>
      </c>
      <c r="S24">
        <f>R24*(1+($A24-($A24-Scenarios!$C$5)*(6-1)/9))</f>
        <v/>
      </c>
      <c r="T24">
        <f>S24*(1+($A24-($A24-Scenarios!$C$5)*(7-1)/9))</f>
        <v/>
      </c>
      <c r="U24">
        <f>T24*(1+($A24-($A24-Scenarios!$C$5)*(8-1)/9))</f>
        <v/>
      </c>
      <c r="V24">
        <f>U24*(1+($A24-($A24-Scenarios!$C$5)*(9-1)/9))</f>
        <v/>
      </c>
      <c r="W24">
        <f>V24*(1+($A24-($A24-Scenarios!$C$5)*(10-1)/9))</f>
        <v/>
      </c>
    </row>
    <row r="25">
      <c r="A25" t="n">
        <v>0.225</v>
      </c>
      <c r="B25">
        <f>N25*(Inputs!$B$14+(Scenarios!$C$3-Inputs!$B$14)*MIN(1,5)/5)/(1+Scenarios!$C$4)^1</f>
        <v/>
      </c>
      <c r="C25">
        <f>O25*(Inputs!$B$14+(Scenarios!$C$3-Inputs!$B$14)*MIN(2,5)/5)/(1+Scenarios!$C$4)^2</f>
        <v/>
      </c>
      <c r="D25">
        <f>P25*(Inputs!$B$14+(Scenarios!$C$3-Inputs!$B$14)*MIN(3,5)/5)/(1+Scenarios!$C$4)^3</f>
        <v/>
      </c>
      <c r="E25">
        <f>Q25*(Inputs!$B$14+(Scenarios!$C$3-Inputs!$B$14)*MIN(4,5)/5)/(1+Scenarios!$C$4)^4</f>
        <v/>
      </c>
      <c r="F25">
        <f>R25*(Inputs!$B$14+(Scenarios!$C$3-Inputs!$B$14)*MIN(5,5)/5)/(1+Scenarios!$C$4)^5</f>
        <v/>
      </c>
      <c r="G25">
        <f>S25*(Inputs!$B$14+(Scenarios!$C$3-Inputs!$B$14)*MIN(6,5)/5)/(1+Scenarios!$C$4)^6</f>
        <v/>
      </c>
      <c r="H25">
        <f>T25*(Inputs!$B$14+(Scenarios!$C$3-Inputs!$B$14)*MIN(7,5)/5)/(1+Scenarios!$C$4)^7</f>
        <v/>
      </c>
      <c r="I25">
        <f>U25*(Inputs!$B$14+(Scenarios!$C$3-Inputs!$B$14)*MIN(8,5)/5)/(1+Scenarios!$C$4)^8</f>
        <v/>
      </c>
      <c r="J25">
        <f>V25*(Inputs!$B$14+(Scenarios!$C$3-Inputs!$B$14)*MIN(9,5)/5)/(1+Scenarios!$C$4)^9</f>
        <v/>
      </c>
      <c r="K25">
        <f>W25*(Inputs!$B$14+(Scenarios!$C$3-Inputs!$B$14)*MIN(10,5)/5)/(1+Scenarios!$C$4)^10</f>
        <v/>
      </c>
      <c r="L25">
        <f>W25*(Inputs!$B$14+(Scenarios!$C$3-Inputs!$B$14))*(1+Scenarios!$C$5)/(Scenarios!$C$4-Scenarios!$C$5)/(1+Scenarios!$C$4)^10</f>
        <v/>
      </c>
      <c r="M25">
        <f>(SUM(B25:L25)+Inputs!$B$17)*Inputs!$B$8/Inputs!$B$3*Inputs!$B$2</f>
        <v/>
      </c>
      <c r="N25">
        <f>Inputs!$B$6*(1+($A25-($A25-Scenarios!$C$5)*(1-1)/9))</f>
        <v/>
      </c>
      <c r="O25">
        <f>N25*(1+($A25-($A25-Scenarios!$C$5)*(2-1)/9))</f>
        <v/>
      </c>
      <c r="P25">
        <f>O25*(1+($A25-($A25-Scenarios!$C$5)*(3-1)/9))</f>
        <v/>
      </c>
      <c r="Q25">
        <f>P25*(1+($A25-($A25-Scenarios!$C$5)*(4-1)/9))</f>
        <v/>
      </c>
      <c r="R25">
        <f>Q25*(1+($A25-($A25-Scenarios!$C$5)*(5-1)/9))</f>
        <v/>
      </c>
      <c r="S25">
        <f>R25*(1+($A25-($A25-Scenarios!$C$5)*(6-1)/9))</f>
        <v/>
      </c>
      <c r="T25">
        <f>S25*(1+($A25-($A25-Scenarios!$C$5)*(7-1)/9))</f>
        <v/>
      </c>
      <c r="U25">
        <f>T25*(1+($A25-($A25-Scenarios!$C$5)*(8-1)/9))</f>
        <v/>
      </c>
      <c r="V25">
        <f>U25*(1+($A25-($A25-Scenarios!$C$5)*(9-1)/9))</f>
        <v/>
      </c>
      <c r="W25">
        <f>V25*(1+($A25-($A25-Scenarios!$C$5)*(10-1)/9))</f>
        <v/>
      </c>
    </row>
    <row r="26">
      <c r="A26" t="n">
        <v>0.25</v>
      </c>
      <c r="B26">
        <f>N26*(Inputs!$B$14+(Scenarios!$C$3-Inputs!$B$14)*MIN(1,5)/5)/(1+Scenarios!$C$4)^1</f>
        <v/>
      </c>
      <c r="C26">
        <f>O26*(Inputs!$B$14+(Scenarios!$C$3-Inputs!$B$14)*MIN(2,5)/5)/(1+Scenarios!$C$4)^2</f>
        <v/>
      </c>
      <c r="D26">
        <f>P26*(Inputs!$B$14+(Scenarios!$C$3-Inputs!$B$14)*MIN(3,5)/5)/(1+Scenarios!$C$4)^3</f>
        <v/>
      </c>
      <c r="E26">
        <f>Q26*(Inputs!$B$14+(Scenarios!$C$3-Inputs!$B$14)*MIN(4,5)/5)/(1+Scenarios!$C$4)^4</f>
        <v/>
      </c>
      <c r="F26">
        <f>R26*(Inputs!$B$14+(Scenarios!$C$3-Inputs!$B$14)*MIN(5,5)/5)/(1+Scenarios!$C$4)^5</f>
        <v/>
      </c>
      <c r="G26">
        <f>S26*(Inputs!$B$14+(Scenarios!$C$3-Inputs!$B$14)*MIN(6,5)/5)/(1+Scenarios!$C$4)^6</f>
        <v/>
      </c>
      <c r="H26">
        <f>T26*(Inputs!$B$14+(Scenarios!$C$3-Inputs!$B$14)*MIN(7,5)/5)/(1+Scenarios!$C$4)^7</f>
        <v/>
      </c>
      <c r="I26">
        <f>U26*(Inputs!$B$14+(Scenarios!$C$3-Inputs!$B$14)*MIN(8,5)/5)/(1+Scenarios!$C$4)^8</f>
        <v/>
      </c>
      <c r="J26">
        <f>V26*(Inputs!$B$14+(Scenarios!$C$3-Inputs!$B$14)*MIN(9,5)/5)/(1+Scenarios!$C$4)^9</f>
        <v/>
      </c>
      <c r="K26">
        <f>W26*(Inputs!$B$14+(Scenarios!$C$3-Inputs!$B$14)*MIN(10,5)/5)/(1+Scenarios!$C$4)^10</f>
        <v/>
      </c>
      <c r="L26">
        <f>W26*(Inputs!$B$14+(Scenarios!$C$3-Inputs!$B$14))*(1+Scenarios!$C$5)/(Scenarios!$C$4-Scenarios!$C$5)/(1+Scenarios!$C$4)^10</f>
        <v/>
      </c>
      <c r="M26">
        <f>(SUM(B26:L26)+Inputs!$B$17)*Inputs!$B$8/Inputs!$B$3*Inputs!$B$2</f>
        <v/>
      </c>
      <c r="N26">
        <f>Inputs!$B$6*(1+($A26-($A26-Scenarios!$C$5)*(1-1)/9))</f>
        <v/>
      </c>
      <c r="O26">
        <f>N26*(1+($A26-($A26-Scenarios!$C$5)*(2-1)/9))</f>
        <v/>
      </c>
      <c r="P26">
        <f>O26*(1+($A26-($A26-Scenarios!$C$5)*(3-1)/9))</f>
        <v/>
      </c>
      <c r="Q26">
        <f>P26*(1+($A26-($A26-Scenarios!$C$5)*(4-1)/9))</f>
        <v/>
      </c>
      <c r="R26">
        <f>Q26*(1+($A26-($A26-Scenarios!$C$5)*(5-1)/9))</f>
        <v/>
      </c>
      <c r="S26">
        <f>R26*(1+($A26-($A26-Scenarios!$C$5)*(6-1)/9))</f>
        <v/>
      </c>
      <c r="T26">
        <f>S26*(1+($A26-($A26-Scenarios!$C$5)*(7-1)/9))</f>
        <v/>
      </c>
      <c r="U26">
        <f>T26*(1+($A26-($A26-Scenarios!$C$5)*(8-1)/9))</f>
        <v/>
      </c>
      <c r="V26">
        <f>U26*(1+($A26-($A26-Scenarios!$C$5)*(9-1)/9))</f>
        <v/>
      </c>
      <c r="W26">
        <f>V26*(1+($A26-($A26-Scenarios!$C$5)*(10-1)/9))</f>
        <v/>
      </c>
    </row>
    <row r="27">
      <c r="A27" t="n">
        <v>0.275</v>
      </c>
      <c r="B27">
        <f>N27*(Inputs!$B$14+(Scenarios!$C$3-Inputs!$B$14)*MIN(1,5)/5)/(1+Scenarios!$C$4)^1</f>
        <v/>
      </c>
      <c r="C27">
        <f>O27*(Inputs!$B$14+(Scenarios!$C$3-Inputs!$B$14)*MIN(2,5)/5)/(1+Scenarios!$C$4)^2</f>
        <v/>
      </c>
      <c r="D27">
        <f>P27*(Inputs!$B$14+(Scenarios!$C$3-Inputs!$B$14)*MIN(3,5)/5)/(1+Scenarios!$C$4)^3</f>
        <v/>
      </c>
      <c r="E27">
        <f>Q27*(Inputs!$B$14+(Scenarios!$C$3-Inputs!$B$14)*MIN(4,5)/5)/(1+Scenarios!$C$4)^4</f>
        <v/>
      </c>
      <c r="F27">
        <f>R27*(Inputs!$B$14+(Scenarios!$C$3-Inputs!$B$14)*MIN(5,5)/5)/(1+Scenarios!$C$4)^5</f>
        <v/>
      </c>
      <c r="G27">
        <f>S27*(Inputs!$B$14+(Scenarios!$C$3-Inputs!$B$14)*MIN(6,5)/5)/(1+Scenarios!$C$4)^6</f>
        <v/>
      </c>
      <c r="H27">
        <f>T27*(Inputs!$B$14+(Scenarios!$C$3-Inputs!$B$14)*MIN(7,5)/5)/(1+Scenarios!$C$4)^7</f>
        <v/>
      </c>
      <c r="I27">
        <f>U27*(Inputs!$B$14+(Scenarios!$C$3-Inputs!$B$14)*MIN(8,5)/5)/(1+Scenarios!$C$4)^8</f>
        <v/>
      </c>
      <c r="J27">
        <f>V27*(Inputs!$B$14+(Scenarios!$C$3-Inputs!$B$14)*MIN(9,5)/5)/(1+Scenarios!$C$4)^9</f>
        <v/>
      </c>
      <c r="K27">
        <f>W27*(Inputs!$B$14+(Scenarios!$C$3-Inputs!$B$14)*MIN(10,5)/5)/(1+Scenarios!$C$4)^10</f>
        <v/>
      </c>
      <c r="L27">
        <f>W27*(Inputs!$B$14+(Scenarios!$C$3-Inputs!$B$14))*(1+Scenarios!$C$5)/(Scenarios!$C$4-Scenarios!$C$5)/(1+Scenarios!$C$4)^10</f>
        <v/>
      </c>
      <c r="M27">
        <f>(SUM(B27:L27)+Inputs!$B$17)*Inputs!$B$8/Inputs!$B$3*Inputs!$B$2</f>
        <v/>
      </c>
      <c r="N27">
        <f>Inputs!$B$6*(1+($A27-($A27-Scenarios!$C$5)*(1-1)/9))</f>
        <v/>
      </c>
      <c r="O27">
        <f>N27*(1+($A27-($A27-Scenarios!$C$5)*(2-1)/9))</f>
        <v/>
      </c>
      <c r="P27">
        <f>O27*(1+($A27-($A27-Scenarios!$C$5)*(3-1)/9))</f>
        <v/>
      </c>
      <c r="Q27">
        <f>P27*(1+($A27-($A27-Scenarios!$C$5)*(4-1)/9))</f>
        <v/>
      </c>
      <c r="R27">
        <f>Q27*(1+($A27-($A27-Scenarios!$C$5)*(5-1)/9))</f>
        <v/>
      </c>
      <c r="S27">
        <f>R27*(1+($A27-($A27-Scenarios!$C$5)*(6-1)/9))</f>
        <v/>
      </c>
      <c r="T27">
        <f>S27*(1+($A27-($A27-Scenarios!$C$5)*(7-1)/9))</f>
        <v/>
      </c>
      <c r="U27">
        <f>T27*(1+($A27-($A27-Scenarios!$C$5)*(8-1)/9))</f>
        <v/>
      </c>
      <c r="V27">
        <f>U27*(1+($A27-($A27-Scenarios!$C$5)*(9-1)/9))</f>
        <v/>
      </c>
      <c r="W27">
        <f>V27*(1+($A27-($A27-Scenarios!$C$5)*(10-1)/9))</f>
        <v/>
      </c>
    </row>
    <row r="28">
      <c r="A28" t="n">
        <v>0.3</v>
      </c>
      <c r="B28">
        <f>N28*(Inputs!$B$14+(Scenarios!$C$3-Inputs!$B$14)*MIN(1,5)/5)/(1+Scenarios!$C$4)^1</f>
        <v/>
      </c>
      <c r="C28">
        <f>O28*(Inputs!$B$14+(Scenarios!$C$3-Inputs!$B$14)*MIN(2,5)/5)/(1+Scenarios!$C$4)^2</f>
        <v/>
      </c>
      <c r="D28">
        <f>P28*(Inputs!$B$14+(Scenarios!$C$3-Inputs!$B$14)*MIN(3,5)/5)/(1+Scenarios!$C$4)^3</f>
        <v/>
      </c>
      <c r="E28">
        <f>Q28*(Inputs!$B$14+(Scenarios!$C$3-Inputs!$B$14)*MIN(4,5)/5)/(1+Scenarios!$C$4)^4</f>
        <v/>
      </c>
      <c r="F28">
        <f>R28*(Inputs!$B$14+(Scenarios!$C$3-Inputs!$B$14)*MIN(5,5)/5)/(1+Scenarios!$C$4)^5</f>
        <v/>
      </c>
      <c r="G28">
        <f>S28*(Inputs!$B$14+(Scenarios!$C$3-Inputs!$B$14)*MIN(6,5)/5)/(1+Scenarios!$C$4)^6</f>
        <v/>
      </c>
      <c r="H28">
        <f>T28*(Inputs!$B$14+(Scenarios!$C$3-Inputs!$B$14)*MIN(7,5)/5)/(1+Scenarios!$C$4)^7</f>
        <v/>
      </c>
      <c r="I28">
        <f>U28*(Inputs!$B$14+(Scenarios!$C$3-Inputs!$B$14)*MIN(8,5)/5)/(1+Scenarios!$C$4)^8</f>
        <v/>
      </c>
      <c r="J28">
        <f>V28*(Inputs!$B$14+(Scenarios!$C$3-Inputs!$B$14)*MIN(9,5)/5)/(1+Scenarios!$C$4)^9</f>
        <v/>
      </c>
      <c r="K28">
        <f>W28*(Inputs!$B$14+(Scenarios!$C$3-Inputs!$B$14)*MIN(10,5)/5)/(1+Scenarios!$C$4)^10</f>
        <v/>
      </c>
      <c r="L28">
        <f>W28*(Inputs!$B$14+(Scenarios!$C$3-Inputs!$B$14))*(1+Scenarios!$C$5)/(Scenarios!$C$4-Scenarios!$C$5)/(1+Scenarios!$C$4)^10</f>
        <v/>
      </c>
      <c r="M28">
        <f>(SUM(B28:L28)+Inputs!$B$17)*Inputs!$B$8/Inputs!$B$3*Inputs!$B$2</f>
        <v/>
      </c>
      <c r="N28">
        <f>Inputs!$B$6*(1+($A28-($A28-Scenarios!$C$5)*(1-1)/9))</f>
        <v/>
      </c>
      <c r="O28">
        <f>N28*(1+($A28-($A28-Scenarios!$C$5)*(2-1)/9))</f>
        <v/>
      </c>
      <c r="P28">
        <f>O28*(1+($A28-($A28-Scenarios!$C$5)*(3-1)/9))</f>
        <v/>
      </c>
      <c r="Q28">
        <f>P28*(1+($A28-($A28-Scenarios!$C$5)*(4-1)/9))</f>
        <v/>
      </c>
      <c r="R28">
        <f>Q28*(1+($A28-($A28-Scenarios!$C$5)*(5-1)/9))</f>
        <v/>
      </c>
      <c r="S28">
        <f>R28*(1+($A28-($A28-Scenarios!$C$5)*(6-1)/9))</f>
        <v/>
      </c>
      <c r="T28">
        <f>S28*(1+($A28-($A28-Scenarios!$C$5)*(7-1)/9))</f>
        <v/>
      </c>
      <c r="U28">
        <f>T28*(1+($A28-($A28-Scenarios!$C$5)*(8-1)/9))</f>
        <v/>
      </c>
      <c r="V28">
        <f>U28*(1+($A28-($A28-Scenarios!$C$5)*(9-1)/9))</f>
        <v/>
      </c>
      <c r="W28">
        <f>V28*(1+($A28-($A28-Scenarios!$C$5)*(10-1)/9))</f>
        <v/>
      </c>
    </row>
    <row r="29">
      <c r="A29" t="n">
        <v>0.325</v>
      </c>
      <c r="B29">
        <f>N29*(Inputs!$B$14+(Scenarios!$C$3-Inputs!$B$14)*MIN(1,5)/5)/(1+Scenarios!$C$4)^1</f>
        <v/>
      </c>
      <c r="C29">
        <f>O29*(Inputs!$B$14+(Scenarios!$C$3-Inputs!$B$14)*MIN(2,5)/5)/(1+Scenarios!$C$4)^2</f>
        <v/>
      </c>
      <c r="D29">
        <f>P29*(Inputs!$B$14+(Scenarios!$C$3-Inputs!$B$14)*MIN(3,5)/5)/(1+Scenarios!$C$4)^3</f>
        <v/>
      </c>
      <c r="E29">
        <f>Q29*(Inputs!$B$14+(Scenarios!$C$3-Inputs!$B$14)*MIN(4,5)/5)/(1+Scenarios!$C$4)^4</f>
        <v/>
      </c>
      <c r="F29">
        <f>R29*(Inputs!$B$14+(Scenarios!$C$3-Inputs!$B$14)*MIN(5,5)/5)/(1+Scenarios!$C$4)^5</f>
        <v/>
      </c>
      <c r="G29">
        <f>S29*(Inputs!$B$14+(Scenarios!$C$3-Inputs!$B$14)*MIN(6,5)/5)/(1+Scenarios!$C$4)^6</f>
        <v/>
      </c>
      <c r="H29">
        <f>T29*(Inputs!$B$14+(Scenarios!$C$3-Inputs!$B$14)*MIN(7,5)/5)/(1+Scenarios!$C$4)^7</f>
        <v/>
      </c>
      <c r="I29">
        <f>U29*(Inputs!$B$14+(Scenarios!$C$3-Inputs!$B$14)*MIN(8,5)/5)/(1+Scenarios!$C$4)^8</f>
        <v/>
      </c>
      <c r="J29">
        <f>V29*(Inputs!$B$14+(Scenarios!$C$3-Inputs!$B$14)*MIN(9,5)/5)/(1+Scenarios!$C$4)^9</f>
        <v/>
      </c>
      <c r="K29">
        <f>W29*(Inputs!$B$14+(Scenarios!$C$3-Inputs!$B$14)*MIN(10,5)/5)/(1+Scenarios!$C$4)^10</f>
        <v/>
      </c>
      <c r="L29">
        <f>W29*(Inputs!$B$14+(Scenarios!$C$3-Inputs!$B$14))*(1+Scenarios!$C$5)/(Scenarios!$C$4-Scenarios!$C$5)/(1+Scenarios!$C$4)^10</f>
        <v/>
      </c>
      <c r="M29">
        <f>(SUM(B29:L29)+Inputs!$B$17)*Inputs!$B$8/Inputs!$B$3*Inputs!$B$2</f>
        <v/>
      </c>
      <c r="N29">
        <f>Inputs!$B$6*(1+($A29-($A29-Scenarios!$C$5)*(1-1)/9))</f>
        <v/>
      </c>
      <c r="O29">
        <f>N29*(1+($A29-($A29-Scenarios!$C$5)*(2-1)/9))</f>
        <v/>
      </c>
      <c r="P29">
        <f>O29*(1+($A29-($A29-Scenarios!$C$5)*(3-1)/9))</f>
        <v/>
      </c>
      <c r="Q29">
        <f>P29*(1+($A29-($A29-Scenarios!$C$5)*(4-1)/9))</f>
        <v/>
      </c>
      <c r="R29">
        <f>Q29*(1+($A29-($A29-Scenarios!$C$5)*(5-1)/9))</f>
        <v/>
      </c>
      <c r="S29">
        <f>R29*(1+($A29-($A29-Scenarios!$C$5)*(6-1)/9))</f>
        <v/>
      </c>
      <c r="T29">
        <f>S29*(1+($A29-($A29-Scenarios!$C$5)*(7-1)/9))</f>
        <v/>
      </c>
      <c r="U29">
        <f>T29*(1+($A29-($A29-Scenarios!$C$5)*(8-1)/9))</f>
        <v/>
      </c>
      <c r="V29">
        <f>U29*(1+($A29-($A29-Scenarios!$C$5)*(9-1)/9))</f>
        <v/>
      </c>
      <c r="W29">
        <f>V29*(1+($A29-($A29-Scenarios!$C$5)*(10-1)/9))</f>
        <v/>
      </c>
    </row>
    <row r="30">
      <c r="A30" t="n">
        <v>0.35</v>
      </c>
      <c r="B30">
        <f>N30*(Inputs!$B$14+(Scenarios!$C$3-Inputs!$B$14)*MIN(1,5)/5)/(1+Scenarios!$C$4)^1</f>
        <v/>
      </c>
      <c r="C30">
        <f>O30*(Inputs!$B$14+(Scenarios!$C$3-Inputs!$B$14)*MIN(2,5)/5)/(1+Scenarios!$C$4)^2</f>
        <v/>
      </c>
      <c r="D30">
        <f>P30*(Inputs!$B$14+(Scenarios!$C$3-Inputs!$B$14)*MIN(3,5)/5)/(1+Scenarios!$C$4)^3</f>
        <v/>
      </c>
      <c r="E30">
        <f>Q30*(Inputs!$B$14+(Scenarios!$C$3-Inputs!$B$14)*MIN(4,5)/5)/(1+Scenarios!$C$4)^4</f>
        <v/>
      </c>
      <c r="F30">
        <f>R30*(Inputs!$B$14+(Scenarios!$C$3-Inputs!$B$14)*MIN(5,5)/5)/(1+Scenarios!$C$4)^5</f>
        <v/>
      </c>
      <c r="G30">
        <f>S30*(Inputs!$B$14+(Scenarios!$C$3-Inputs!$B$14)*MIN(6,5)/5)/(1+Scenarios!$C$4)^6</f>
        <v/>
      </c>
      <c r="H30">
        <f>T30*(Inputs!$B$14+(Scenarios!$C$3-Inputs!$B$14)*MIN(7,5)/5)/(1+Scenarios!$C$4)^7</f>
        <v/>
      </c>
      <c r="I30">
        <f>U30*(Inputs!$B$14+(Scenarios!$C$3-Inputs!$B$14)*MIN(8,5)/5)/(1+Scenarios!$C$4)^8</f>
        <v/>
      </c>
      <c r="J30">
        <f>V30*(Inputs!$B$14+(Scenarios!$C$3-Inputs!$B$14)*MIN(9,5)/5)/(1+Scenarios!$C$4)^9</f>
        <v/>
      </c>
      <c r="K30">
        <f>W30*(Inputs!$B$14+(Scenarios!$C$3-Inputs!$B$14)*MIN(10,5)/5)/(1+Scenarios!$C$4)^10</f>
        <v/>
      </c>
      <c r="L30">
        <f>W30*(Inputs!$B$14+(Scenarios!$C$3-Inputs!$B$14))*(1+Scenarios!$C$5)/(Scenarios!$C$4-Scenarios!$C$5)/(1+Scenarios!$C$4)^10</f>
        <v/>
      </c>
      <c r="M30">
        <f>(SUM(B30:L30)+Inputs!$B$17)*Inputs!$B$8/Inputs!$B$3*Inputs!$B$2</f>
        <v/>
      </c>
      <c r="N30">
        <f>Inputs!$B$6*(1+($A30-($A30-Scenarios!$C$5)*(1-1)/9))</f>
        <v/>
      </c>
      <c r="O30">
        <f>N30*(1+($A30-($A30-Scenarios!$C$5)*(2-1)/9))</f>
        <v/>
      </c>
      <c r="P30">
        <f>O30*(1+($A30-($A30-Scenarios!$C$5)*(3-1)/9))</f>
        <v/>
      </c>
      <c r="Q30">
        <f>P30*(1+($A30-($A30-Scenarios!$C$5)*(4-1)/9))</f>
        <v/>
      </c>
      <c r="R30">
        <f>Q30*(1+($A30-($A30-Scenarios!$C$5)*(5-1)/9))</f>
        <v/>
      </c>
      <c r="S30">
        <f>R30*(1+($A30-($A30-Scenarios!$C$5)*(6-1)/9))</f>
        <v/>
      </c>
      <c r="T30">
        <f>S30*(1+($A30-($A30-Scenarios!$C$5)*(7-1)/9))</f>
        <v/>
      </c>
      <c r="U30">
        <f>T30*(1+($A30-($A30-Scenarios!$C$5)*(8-1)/9))</f>
        <v/>
      </c>
      <c r="V30">
        <f>U30*(1+($A30-($A30-Scenarios!$C$5)*(9-1)/9))</f>
        <v/>
      </c>
      <c r="W30">
        <f>V30*(1+($A30-($A30-Scenarios!$C$5)*(10-1)/9))</f>
        <v/>
      </c>
    </row>
    <row r="31">
      <c r="A31" t="n">
        <v>0.375</v>
      </c>
      <c r="B31">
        <f>N31*(Inputs!$B$14+(Scenarios!$C$3-Inputs!$B$14)*MIN(1,5)/5)/(1+Scenarios!$C$4)^1</f>
        <v/>
      </c>
      <c r="C31">
        <f>O31*(Inputs!$B$14+(Scenarios!$C$3-Inputs!$B$14)*MIN(2,5)/5)/(1+Scenarios!$C$4)^2</f>
        <v/>
      </c>
      <c r="D31">
        <f>P31*(Inputs!$B$14+(Scenarios!$C$3-Inputs!$B$14)*MIN(3,5)/5)/(1+Scenarios!$C$4)^3</f>
        <v/>
      </c>
      <c r="E31">
        <f>Q31*(Inputs!$B$14+(Scenarios!$C$3-Inputs!$B$14)*MIN(4,5)/5)/(1+Scenarios!$C$4)^4</f>
        <v/>
      </c>
      <c r="F31">
        <f>R31*(Inputs!$B$14+(Scenarios!$C$3-Inputs!$B$14)*MIN(5,5)/5)/(1+Scenarios!$C$4)^5</f>
        <v/>
      </c>
      <c r="G31">
        <f>S31*(Inputs!$B$14+(Scenarios!$C$3-Inputs!$B$14)*MIN(6,5)/5)/(1+Scenarios!$C$4)^6</f>
        <v/>
      </c>
      <c r="H31">
        <f>T31*(Inputs!$B$14+(Scenarios!$C$3-Inputs!$B$14)*MIN(7,5)/5)/(1+Scenarios!$C$4)^7</f>
        <v/>
      </c>
      <c r="I31">
        <f>U31*(Inputs!$B$14+(Scenarios!$C$3-Inputs!$B$14)*MIN(8,5)/5)/(1+Scenarios!$C$4)^8</f>
        <v/>
      </c>
      <c r="J31">
        <f>V31*(Inputs!$B$14+(Scenarios!$C$3-Inputs!$B$14)*MIN(9,5)/5)/(1+Scenarios!$C$4)^9</f>
        <v/>
      </c>
      <c r="K31">
        <f>W31*(Inputs!$B$14+(Scenarios!$C$3-Inputs!$B$14)*MIN(10,5)/5)/(1+Scenarios!$C$4)^10</f>
        <v/>
      </c>
      <c r="L31">
        <f>W31*(Inputs!$B$14+(Scenarios!$C$3-Inputs!$B$14))*(1+Scenarios!$C$5)/(Scenarios!$C$4-Scenarios!$C$5)/(1+Scenarios!$C$4)^10</f>
        <v/>
      </c>
      <c r="M31">
        <f>(SUM(B31:L31)+Inputs!$B$17)*Inputs!$B$8/Inputs!$B$3*Inputs!$B$2</f>
        <v/>
      </c>
      <c r="N31">
        <f>Inputs!$B$6*(1+($A31-($A31-Scenarios!$C$5)*(1-1)/9))</f>
        <v/>
      </c>
      <c r="O31">
        <f>N31*(1+($A31-($A31-Scenarios!$C$5)*(2-1)/9))</f>
        <v/>
      </c>
      <c r="P31">
        <f>O31*(1+($A31-($A31-Scenarios!$C$5)*(3-1)/9))</f>
        <v/>
      </c>
      <c r="Q31">
        <f>P31*(1+($A31-($A31-Scenarios!$C$5)*(4-1)/9))</f>
        <v/>
      </c>
      <c r="R31">
        <f>Q31*(1+($A31-($A31-Scenarios!$C$5)*(5-1)/9))</f>
        <v/>
      </c>
      <c r="S31">
        <f>R31*(1+($A31-($A31-Scenarios!$C$5)*(6-1)/9))</f>
        <v/>
      </c>
      <c r="T31">
        <f>S31*(1+($A31-($A31-Scenarios!$C$5)*(7-1)/9))</f>
        <v/>
      </c>
      <c r="U31">
        <f>T31*(1+($A31-($A31-Scenarios!$C$5)*(8-1)/9))</f>
        <v/>
      </c>
      <c r="V31">
        <f>U31*(1+($A31-($A31-Scenarios!$C$5)*(9-1)/9))</f>
        <v/>
      </c>
      <c r="W31">
        <f>V31*(1+($A31-($A31-Scenarios!$C$5)*(10-1)/9))</f>
        <v/>
      </c>
    </row>
    <row r="32">
      <c r="A32" t="n">
        <v>0.4</v>
      </c>
      <c r="B32">
        <f>N32*(Inputs!$B$14+(Scenarios!$C$3-Inputs!$B$14)*MIN(1,5)/5)/(1+Scenarios!$C$4)^1</f>
        <v/>
      </c>
      <c r="C32">
        <f>O32*(Inputs!$B$14+(Scenarios!$C$3-Inputs!$B$14)*MIN(2,5)/5)/(1+Scenarios!$C$4)^2</f>
        <v/>
      </c>
      <c r="D32">
        <f>P32*(Inputs!$B$14+(Scenarios!$C$3-Inputs!$B$14)*MIN(3,5)/5)/(1+Scenarios!$C$4)^3</f>
        <v/>
      </c>
      <c r="E32">
        <f>Q32*(Inputs!$B$14+(Scenarios!$C$3-Inputs!$B$14)*MIN(4,5)/5)/(1+Scenarios!$C$4)^4</f>
        <v/>
      </c>
      <c r="F32">
        <f>R32*(Inputs!$B$14+(Scenarios!$C$3-Inputs!$B$14)*MIN(5,5)/5)/(1+Scenarios!$C$4)^5</f>
        <v/>
      </c>
      <c r="G32">
        <f>S32*(Inputs!$B$14+(Scenarios!$C$3-Inputs!$B$14)*MIN(6,5)/5)/(1+Scenarios!$C$4)^6</f>
        <v/>
      </c>
      <c r="H32">
        <f>T32*(Inputs!$B$14+(Scenarios!$C$3-Inputs!$B$14)*MIN(7,5)/5)/(1+Scenarios!$C$4)^7</f>
        <v/>
      </c>
      <c r="I32">
        <f>U32*(Inputs!$B$14+(Scenarios!$C$3-Inputs!$B$14)*MIN(8,5)/5)/(1+Scenarios!$C$4)^8</f>
        <v/>
      </c>
      <c r="J32">
        <f>V32*(Inputs!$B$14+(Scenarios!$C$3-Inputs!$B$14)*MIN(9,5)/5)/(1+Scenarios!$C$4)^9</f>
        <v/>
      </c>
      <c r="K32">
        <f>W32*(Inputs!$B$14+(Scenarios!$C$3-Inputs!$B$14)*MIN(10,5)/5)/(1+Scenarios!$C$4)^10</f>
        <v/>
      </c>
      <c r="L32">
        <f>W32*(Inputs!$B$14+(Scenarios!$C$3-Inputs!$B$14))*(1+Scenarios!$C$5)/(Scenarios!$C$4-Scenarios!$C$5)/(1+Scenarios!$C$4)^10</f>
        <v/>
      </c>
      <c r="M32">
        <f>(SUM(B32:L32)+Inputs!$B$17)*Inputs!$B$8/Inputs!$B$3*Inputs!$B$2</f>
        <v/>
      </c>
      <c r="N32">
        <f>Inputs!$B$6*(1+($A32-($A32-Scenarios!$C$5)*(1-1)/9))</f>
        <v/>
      </c>
      <c r="O32">
        <f>N32*(1+($A32-($A32-Scenarios!$C$5)*(2-1)/9))</f>
        <v/>
      </c>
      <c r="P32">
        <f>O32*(1+($A32-($A32-Scenarios!$C$5)*(3-1)/9))</f>
        <v/>
      </c>
      <c r="Q32">
        <f>P32*(1+($A32-($A32-Scenarios!$C$5)*(4-1)/9))</f>
        <v/>
      </c>
      <c r="R32">
        <f>Q32*(1+($A32-($A32-Scenarios!$C$5)*(5-1)/9))</f>
        <v/>
      </c>
      <c r="S32">
        <f>R32*(1+($A32-($A32-Scenarios!$C$5)*(6-1)/9))</f>
        <v/>
      </c>
      <c r="T32">
        <f>S32*(1+($A32-($A32-Scenarios!$C$5)*(7-1)/9))</f>
        <v/>
      </c>
      <c r="U32">
        <f>T32*(1+($A32-($A32-Scenarios!$C$5)*(8-1)/9))</f>
        <v/>
      </c>
      <c r="V32">
        <f>U32*(1+($A32-($A32-Scenarios!$C$5)*(9-1)/9))</f>
        <v/>
      </c>
      <c r="W32">
        <f>V32*(1+($A32-($A32-Scenarios!$C$5)*(10-1)/9))</f>
        <v/>
      </c>
    </row>
    <row r="33">
      <c r="A33" t="n">
        <v>0.425</v>
      </c>
      <c r="B33">
        <f>N33*(Inputs!$B$14+(Scenarios!$C$3-Inputs!$B$14)*MIN(1,5)/5)/(1+Scenarios!$C$4)^1</f>
        <v/>
      </c>
      <c r="C33">
        <f>O33*(Inputs!$B$14+(Scenarios!$C$3-Inputs!$B$14)*MIN(2,5)/5)/(1+Scenarios!$C$4)^2</f>
        <v/>
      </c>
      <c r="D33">
        <f>P33*(Inputs!$B$14+(Scenarios!$C$3-Inputs!$B$14)*MIN(3,5)/5)/(1+Scenarios!$C$4)^3</f>
        <v/>
      </c>
      <c r="E33">
        <f>Q33*(Inputs!$B$14+(Scenarios!$C$3-Inputs!$B$14)*MIN(4,5)/5)/(1+Scenarios!$C$4)^4</f>
        <v/>
      </c>
      <c r="F33">
        <f>R33*(Inputs!$B$14+(Scenarios!$C$3-Inputs!$B$14)*MIN(5,5)/5)/(1+Scenarios!$C$4)^5</f>
        <v/>
      </c>
      <c r="G33">
        <f>S33*(Inputs!$B$14+(Scenarios!$C$3-Inputs!$B$14)*MIN(6,5)/5)/(1+Scenarios!$C$4)^6</f>
        <v/>
      </c>
      <c r="H33">
        <f>T33*(Inputs!$B$14+(Scenarios!$C$3-Inputs!$B$14)*MIN(7,5)/5)/(1+Scenarios!$C$4)^7</f>
        <v/>
      </c>
      <c r="I33">
        <f>U33*(Inputs!$B$14+(Scenarios!$C$3-Inputs!$B$14)*MIN(8,5)/5)/(1+Scenarios!$C$4)^8</f>
        <v/>
      </c>
      <c r="J33">
        <f>V33*(Inputs!$B$14+(Scenarios!$C$3-Inputs!$B$14)*MIN(9,5)/5)/(1+Scenarios!$C$4)^9</f>
        <v/>
      </c>
      <c r="K33">
        <f>W33*(Inputs!$B$14+(Scenarios!$C$3-Inputs!$B$14)*MIN(10,5)/5)/(1+Scenarios!$C$4)^10</f>
        <v/>
      </c>
      <c r="L33">
        <f>W33*(Inputs!$B$14+(Scenarios!$C$3-Inputs!$B$14))*(1+Scenarios!$C$5)/(Scenarios!$C$4-Scenarios!$C$5)/(1+Scenarios!$C$4)^10</f>
        <v/>
      </c>
      <c r="M33">
        <f>(SUM(B33:L33)+Inputs!$B$17)*Inputs!$B$8/Inputs!$B$3*Inputs!$B$2</f>
        <v/>
      </c>
      <c r="N33">
        <f>Inputs!$B$6*(1+($A33-($A33-Scenarios!$C$5)*(1-1)/9))</f>
        <v/>
      </c>
      <c r="O33">
        <f>N33*(1+($A33-($A33-Scenarios!$C$5)*(2-1)/9))</f>
        <v/>
      </c>
      <c r="P33">
        <f>O33*(1+($A33-($A33-Scenarios!$C$5)*(3-1)/9))</f>
        <v/>
      </c>
      <c r="Q33">
        <f>P33*(1+($A33-($A33-Scenarios!$C$5)*(4-1)/9))</f>
        <v/>
      </c>
      <c r="R33">
        <f>Q33*(1+($A33-($A33-Scenarios!$C$5)*(5-1)/9))</f>
        <v/>
      </c>
      <c r="S33">
        <f>R33*(1+($A33-($A33-Scenarios!$C$5)*(6-1)/9))</f>
        <v/>
      </c>
      <c r="T33">
        <f>S33*(1+($A33-($A33-Scenarios!$C$5)*(7-1)/9))</f>
        <v/>
      </c>
      <c r="U33">
        <f>T33*(1+($A33-($A33-Scenarios!$C$5)*(8-1)/9))</f>
        <v/>
      </c>
      <c r="V33">
        <f>U33*(1+($A33-($A33-Scenarios!$C$5)*(9-1)/9))</f>
        <v/>
      </c>
      <c r="W33">
        <f>V33*(1+($A33-($A33-Scenarios!$C$5)*(10-1)/9))</f>
        <v/>
      </c>
    </row>
    <row r="34">
      <c r="A34" t="n">
        <v>0.45</v>
      </c>
      <c r="B34">
        <f>N34*(Inputs!$B$14+(Scenarios!$C$3-Inputs!$B$14)*MIN(1,5)/5)/(1+Scenarios!$C$4)^1</f>
        <v/>
      </c>
      <c r="C34">
        <f>O34*(Inputs!$B$14+(Scenarios!$C$3-Inputs!$B$14)*MIN(2,5)/5)/(1+Scenarios!$C$4)^2</f>
        <v/>
      </c>
      <c r="D34">
        <f>P34*(Inputs!$B$14+(Scenarios!$C$3-Inputs!$B$14)*MIN(3,5)/5)/(1+Scenarios!$C$4)^3</f>
        <v/>
      </c>
      <c r="E34">
        <f>Q34*(Inputs!$B$14+(Scenarios!$C$3-Inputs!$B$14)*MIN(4,5)/5)/(1+Scenarios!$C$4)^4</f>
        <v/>
      </c>
      <c r="F34">
        <f>R34*(Inputs!$B$14+(Scenarios!$C$3-Inputs!$B$14)*MIN(5,5)/5)/(1+Scenarios!$C$4)^5</f>
        <v/>
      </c>
      <c r="G34">
        <f>S34*(Inputs!$B$14+(Scenarios!$C$3-Inputs!$B$14)*MIN(6,5)/5)/(1+Scenarios!$C$4)^6</f>
        <v/>
      </c>
      <c r="H34">
        <f>T34*(Inputs!$B$14+(Scenarios!$C$3-Inputs!$B$14)*MIN(7,5)/5)/(1+Scenarios!$C$4)^7</f>
        <v/>
      </c>
      <c r="I34">
        <f>U34*(Inputs!$B$14+(Scenarios!$C$3-Inputs!$B$14)*MIN(8,5)/5)/(1+Scenarios!$C$4)^8</f>
        <v/>
      </c>
      <c r="J34">
        <f>V34*(Inputs!$B$14+(Scenarios!$C$3-Inputs!$B$14)*MIN(9,5)/5)/(1+Scenarios!$C$4)^9</f>
        <v/>
      </c>
      <c r="K34">
        <f>W34*(Inputs!$B$14+(Scenarios!$C$3-Inputs!$B$14)*MIN(10,5)/5)/(1+Scenarios!$C$4)^10</f>
        <v/>
      </c>
      <c r="L34">
        <f>W34*(Inputs!$B$14+(Scenarios!$C$3-Inputs!$B$14))*(1+Scenarios!$C$5)/(Scenarios!$C$4-Scenarios!$C$5)/(1+Scenarios!$C$4)^10</f>
        <v/>
      </c>
      <c r="M34">
        <f>(SUM(B34:L34)+Inputs!$B$17)*Inputs!$B$8/Inputs!$B$3*Inputs!$B$2</f>
        <v/>
      </c>
      <c r="N34">
        <f>Inputs!$B$6*(1+($A34-($A34-Scenarios!$C$5)*(1-1)/9))</f>
        <v/>
      </c>
      <c r="O34">
        <f>N34*(1+($A34-($A34-Scenarios!$C$5)*(2-1)/9))</f>
        <v/>
      </c>
      <c r="P34">
        <f>O34*(1+($A34-($A34-Scenarios!$C$5)*(3-1)/9))</f>
        <v/>
      </c>
      <c r="Q34">
        <f>P34*(1+($A34-($A34-Scenarios!$C$5)*(4-1)/9))</f>
        <v/>
      </c>
      <c r="R34">
        <f>Q34*(1+($A34-($A34-Scenarios!$C$5)*(5-1)/9))</f>
        <v/>
      </c>
      <c r="S34">
        <f>R34*(1+($A34-($A34-Scenarios!$C$5)*(6-1)/9))</f>
        <v/>
      </c>
      <c r="T34">
        <f>S34*(1+($A34-($A34-Scenarios!$C$5)*(7-1)/9))</f>
        <v/>
      </c>
      <c r="U34">
        <f>T34*(1+($A34-($A34-Scenarios!$C$5)*(8-1)/9))</f>
        <v/>
      </c>
      <c r="V34">
        <f>U34*(1+($A34-($A34-Scenarios!$C$5)*(9-1)/9))</f>
        <v/>
      </c>
      <c r="W34">
        <f>V34*(1+($A34-($A34-Scenarios!$C$5)*(10-1)/9))</f>
        <v/>
      </c>
    </row>
    <row r="35">
      <c r="A35" t="n">
        <v>0.475</v>
      </c>
      <c r="B35">
        <f>N35*(Inputs!$B$14+(Scenarios!$C$3-Inputs!$B$14)*MIN(1,5)/5)/(1+Scenarios!$C$4)^1</f>
        <v/>
      </c>
      <c r="C35">
        <f>O35*(Inputs!$B$14+(Scenarios!$C$3-Inputs!$B$14)*MIN(2,5)/5)/(1+Scenarios!$C$4)^2</f>
        <v/>
      </c>
      <c r="D35">
        <f>P35*(Inputs!$B$14+(Scenarios!$C$3-Inputs!$B$14)*MIN(3,5)/5)/(1+Scenarios!$C$4)^3</f>
        <v/>
      </c>
      <c r="E35">
        <f>Q35*(Inputs!$B$14+(Scenarios!$C$3-Inputs!$B$14)*MIN(4,5)/5)/(1+Scenarios!$C$4)^4</f>
        <v/>
      </c>
      <c r="F35">
        <f>R35*(Inputs!$B$14+(Scenarios!$C$3-Inputs!$B$14)*MIN(5,5)/5)/(1+Scenarios!$C$4)^5</f>
        <v/>
      </c>
      <c r="G35">
        <f>S35*(Inputs!$B$14+(Scenarios!$C$3-Inputs!$B$14)*MIN(6,5)/5)/(1+Scenarios!$C$4)^6</f>
        <v/>
      </c>
      <c r="H35">
        <f>T35*(Inputs!$B$14+(Scenarios!$C$3-Inputs!$B$14)*MIN(7,5)/5)/(1+Scenarios!$C$4)^7</f>
        <v/>
      </c>
      <c r="I35">
        <f>U35*(Inputs!$B$14+(Scenarios!$C$3-Inputs!$B$14)*MIN(8,5)/5)/(1+Scenarios!$C$4)^8</f>
        <v/>
      </c>
      <c r="J35">
        <f>V35*(Inputs!$B$14+(Scenarios!$C$3-Inputs!$B$14)*MIN(9,5)/5)/(1+Scenarios!$C$4)^9</f>
        <v/>
      </c>
      <c r="K35">
        <f>W35*(Inputs!$B$14+(Scenarios!$C$3-Inputs!$B$14)*MIN(10,5)/5)/(1+Scenarios!$C$4)^10</f>
        <v/>
      </c>
      <c r="L35">
        <f>W35*(Inputs!$B$14+(Scenarios!$C$3-Inputs!$B$14))*(1+Scenarios!$C$5)/(Scenarios!$C$4-Scenarios!$C$5)/(1+Scenarios!$C$4)^10</f>
        <v/>
      </c>
      <c r="M35">
        <f>(SUM(B35:L35)+Inputs!$B$17)*Inputs!$B$8/Inputs!$B$3*Inputs!$B$2</f>
        <v/>
      </c>
      <c r="N35">
        <f>Inputs!$B$6*(1+($A35-($A35-Scenarios!$C$5)*(1-1)/9))</f>
        <v/>
      </c>
      <c r="O35">
        <f>N35*(1+($A35-($A35-Scenarios!$C$5)*(2-1)/9))</f>
        <v/>
      </c>
      <c r="P35">
        <f>O35*(1+($A35-($A35-Scenarios!$C$5)*(3-1)/9))</f>
        <v/>
      </c>
      <c r="Q35">
        <f>P35*(1+($A35-($A35-Scenarios!$C$5)*(4-1)/9))</f>
        <v/>
      </c>
      <c r="R35">
        <f>Q35*(1+($A35-($A35-Scenarios!$C$5)*(5-1)/9))</f>
        <v/>
      </c>
      <c r="S35">
        <f>R35*(1+($A35-($A35-Scenarios!$C$5)*(6-1)/9))</f>
        <v/>
      </c>
      <c r="T35">
        <f>S35*(1+($A35-($A35-Scenarios!$C$5)*(7-1)/9))</f>
        <v/>
      </c>
      <c r="U35">
        <f>T35*(1+($A35-($A35-Scenarios!$C$5)*(8-1)/9))</f>
        <v/>
      </c>
      <c r="V35">
        <f>U35*(1+($A35-($A35-Scenarios!$C$5)*(9-1)/9))</f>
        <v/>
      </c>
      <c r="W35">
        <f>V35*(1+($A35-($A35-Scenarios!$C$5)*(10-1)/9))</f>
        <v/>
      </c>
    </row>
    <row r="36">
      <c r="A36" t="n">
        <v>0.5</v>
      </c>
      <c r="B36">
        <f>N36*(Inputs!$B$14+(Scenarios!$C$3-Inputs!$B$14)*MIN(1,5)/5)/(1+Scenarios!$C$4)^1</f>
        <v/>
      </c>
      <c r="C36">
        <f>O36*(Inputs!$B$14+(Scenarios!$C$3-Inputs!$B$14)*MIN(2,5)/5)/(1+Scenarios!$C$4)^2</f>
        <v/>
      </c>
      <c r="D36">
        <f>P36*(Inputs!$B$14+(Scenarios!$C$3-Inputs!$B$14)*MIN(3,5)/5)/(1+Scenarios!$C$4)^3</f>
        <v/>
      </c>
      <c r="E36">
        <f>Q36*(Inputs!$B$14+(Scenarios!$C$3-Inputs!$B$14)*MIN(4,5)/5)/(1+Scenarios!$C$4)^4</f>
        <v/>
      </c>
      <c r="F36">
        <f>R36*(Inputs!$B$14+(Scenarios!$C$3-Inputs!$B$14)*MIN(5,5)/5)/(1+Scenarios!$C$4)^5</f>
        <v/>
      </c>
      <c r="G36">
        <f>S36*(Inputs!$B$14+(Scenarios!$C$3-Inputs!$B$14)*MIN(6,5)/5)/(1+Scenarios!$C$4)^6</f>
        <v/>
      </c>
      <c r="H36">
        <f>T36*(Inputs!$B$14+(Scenarios!$C$3-Inputs!$B$14)*MIN(7,5)/5)/(1+Scenarios!$C$4)^7</f>
        <v/>
      </c>
      <c r="I36">
        <f>U36*(Inputs!$B$14+(Scenarios!$C$3-Inputs!$B$14)*MIN(8,5)/5)/(1+Scenarios!$C$4)^8</f>
        <v/>
      </c>
      <c r="J36">
        <f>V36*(Inputs!$B$14+(Scenarios!$C$3-Inputs!$B$14)*MIN(9,5)/5)/(1+Scenarios!$C$4)^9</f>
        <v/>
      </c>
      <c r="K36">
        <f>W36*(Inputs!$B$14+(Scenarios!$C$3-Inputs!$B$14)*MIN(10,5)/5)/(1+Scenarios!$C$4)^10</f>
        <v/>
      </c>
      <c r="L36">
        <f>W36*(Inputs!$B$14+(Scenarios!$C$3-Inputs!$B$14))*(1+Scenarios!$C$5)/(Scenarios!$C$4-Scenarios!$C$5)/(1+Scenarios!$C$4)^10</f>
        <v/>
      </c>
      <c r="M36">
        <f>(SUM(B36:L36)+Inputs!$B$17)*Inputs!$B$8/Inputs!$B$3*Inputs!$B$2</f>
        <v/>
      </c>
      <c r="N36">
        <f>Inputs!$B$6*(1+($A36-($A36-Scenarios!$C$5)*(1-1)/9))</f>
        <v/>
      </c>
      <c r="O36">
        <f>N36*(1+($A36-($A36-Scenarios!$C$5)*(2-1)/9))</f>
        <v/>
      </c>
      <c r="P36">
        <f>O36*(1+($A36-($A36-Scenarios!$C$5)*(3-1)/9))</f>
        <v/>
      </c>
      <c r="Q36">
        <f>P36*(1+($A36-($A36-Scenarios!$C$5)*(4-1)/9))</f>
        <v/>
      </c>
      <c r="R36">
        <f>Q36*(1+($A36-($A36-Scenarios!$C$5)*(5-1)/9))</f>
        <v/>
      </c>
      <c r="S36">
        <f>R36*(1+($A36-($A36-Scenarios!$C$5)*(6-1)/9))</f>
        <v/>
      </c>
      <c r="T36">
        <f>S36*(1+($A36-($A36-Scenarios!$C$5)*(7-1)/9))</f>
        <v/>
      </c>
      <c r="U36">
        <f>T36*(1+($A36-($A36-Scenarios!$C$5)*(8-1)/9))</f>
        <v/>
      </c>
      <c r="V36">
        <f>U36*(1+($A36-($A36-Scenarios!$C$5)*(9-1)/9))</f>
        <v/>
      </c>
      <c r="W36">
        <f>V36*(1+($A36-($A36-Scenarios!$C$5)*(10-1)/9))</f>
        <v/>
      </c>
    </row>
    <row r="37">
      <c r="A37" t="n">
        <v>0.525</v>
      </c>
      <c r="B37">
        <f>N37*(Inputs!$B$14+(Scenarios!$C$3-Inputs!$B$14)*MIN(1,5)/5)/(1+Scenarios!$C$4)^1</f>
        <v/>
      </c>
      <c r="C37">
        <f>O37*(Inputs!$B$14+(Scenarios!$C$3-Inputs!$B$14)*MIN(2,5)/5)/(1+Scenarios!$C$4)^2</f>
        <v/>
      </c>
      <c r="D37">
        <f>P37*(Inputs!$B$14+(Scenarios!$C$3-Inputs!$B$14)*MIN(3,5)/5)/(1+Scenarios!$C$4)^3</f>
        <v/>
      </c>
      <c r="E37">
        <f>Q37*(Inputs!$B$14+(Scenarios!$C$3-Inputs!$B$14)*MIN(4,5)/5)/(1+Scenarios!$C$4)^4</f>
        <v/>
      </c>
      <c r="F37">
        <f>R37*(Inputs!$B$14+(Scenarios!$C$3-Inputs!$B$14)*MIN(5,5)/5)/(1+Scenarios!$C$4)^5</f>
        <v/>
      </c>
      <c r="G37">
        <f>S37*(Inputs!$B$14+(Scenarios!$C$3-Inputs!$B$14)*MIN(6,5)/5)/(1+Scenarios!$C$4)^6</f>
        <v/>
      </c>
      <c r="H37">
        <f>T37*(Inputs!$B$14+(Scenarios!$C$3-Inputs!$B$14)*MIN(7,5)/5)/(1+Scenarios!$C$4)^7</f>
        <v/>
      </c>
      <c r="I37">
        <f>U37*(Inputs!$B$14+(Scenarios!$C$3-Inputs!$B$14)*MIN(8,5)/5)/(1+Scenarios!$C$4)^8</f>
        <v/>
      </c>
      <c r="J37">
        <f>V37*(Inputs!$B$14+(Scenarios!$C$3-Inputs!$B$14)*MIN(9,5)/5)/(1+Scenarios!$C$4)^9</f>
        <v/>
      </c>
      <c r="K37">
        <f>W37*(Inputs!$B$14+(Scenarios!$C$3-Inputs!$B$14)*MIN(10,5)/5)/(1+Scenarios!$C$4)^10</f>
        <v/>
      </c>
      <c r="L37">
        <f>W37*(Inputs!$B$14+(Scenarios!$C$3-Inputs!$B$14))*(1+Scenarios!$C$5)/(Scenarios!$C$4-Scenarios!$C$5)/(1+Scenarios!$C$4)^10</f>
        <v/>
      </c>
      <c r="M37">
        <f>(SUM(B37:L37)+Inputs!$B$17)*Inputs!$B$8/Inputs!$B$3*Inputs!$B$2</f>
        <v/>
      </c>
      <c r="N37">
        <f>Inputs!$B$6*(1+($A37-($A37-Scenarios!$C$5)*(1-1)/9))</f>
        <v/>
      </c>
      <c r="O37">
        <f>N37*(1+($A37-($A37-Scenarios!$C$5)*(2-1)/9))</f>
        <v/>
      </c>
      <c r="P37">
        <f>O37*(1+($A37-($A37-Scenarios!$C$5)*(3-1)/9))</f>
        <v/>
      </c>
      <c r="Q37">
        <f>P37*(1+($A37-($A37-Scenarios!$C$5)*(4-1)/9))</f>
        <v/>
      </c>
      <c r="R37">
        <f>Q37*(1+($A37-($A37-Scenarios!$C$5)*(5-1)/9))</f>
        <v/>
      </c>
      <c r="S37">
        <f>R37*(1+($A37-($A37-Scenarios!$C$5)*(6-1)/9))</f>
        <v/>
      </c>
      <c r="T37">
        <f>S37*(1+($A37-($A37-Scenarios!$C$5)*(7-1)/9))</f>
        <v/>
      </c>
      <c r="U37">
        <f>T37*(1+($A37-($A37-Scenarios!$C$5)*(8-1)/9))</f>
        <v/>
      </c>
      <c r="V37">
        <f>U37*(1+($A37-($A37-Scenarios!$C$5)*(9-1)/9))</f>
        <v/>
      </c>
      <c r="W37">
        <f>V37*(1+($A37-($A37-Scenarios!$C$5)*(10-1)/9))</f>
        <v/>
      </c>
    </row>
    <row r="38">
      <c r="A38" t="n">
        <v>0.55</v>
      </c>
      <c r="B38">
        <f>N38*(Inputs!$B$14+(Scenarios!$C$3-Inputs!$B$14)*MIN(1,5)/5)/(1+Scenarios!$C$4)^1</f>
        <v/>
      </c>
      <c r="C38">
        <f>O38*(Inputs!$B$14+(Scenarios!$C$3-Inputs!$B$14)*MIN(2,5)/5)/(1+Scenarios!$C$4)^2</f>
        <v/>
      </c>
      <c r="D38">
        <f>P38*(Inputs!$B$14+(Scenarios!$C$3-Inputs!$B$14)*MIN(3,5)/5)/(1+Scenarios!$C$4)^3</f>
        <v/>
      </c>
      <c r="E38">
        <f>Q38*(Inputs!$B$14+(Scenarios!$C$3-Inputs!$B$14)*MIN(4,5)/5)/(1+Scenarios!$C$4)^4</f>
        <v/>
      </c>
      <c r="F38">
        <f>R38*(Inputs!$B$14+(Scenarios!$C$3-Inputs!$B$14)*MIN(5,5)/5)/(1+Scenarios!$C$4)^5</f>
        <v/>
      </c>
      <c r="G38">
        <f>S38*(Inputs!$B$14+(Scenarios!$C$3-Inputs!$B$14)*MIN(6,5)/5)/(1+Scenarios!$C$4)^6</f>
        <v/>
      </c>
      <c r="H38">
        <f>T38*(Inputs!$B$14+(Scenarios!$C$3-Inputs!$B$14)*MIN(7,5)/5)/(1+Scenarios!$C$4)^7</f>
        <v/>
      </c>
      <c r="I38">
        <f>U38*(Inputs!$B$14+(Scenarios!$C$3-Inputs!$B$14)*MIN(8,5)/5)/(1+Scenarios!$C$4)^8</f>
        <v/>
      </c>
      <c r="J38">
        <f>V38*(Inputs!$B$14+(Scenarios!$C$3-Inputs!$B$14)*MIN(9,5)/5)/(1+Scenarios!$C$4)^9</f>
        <v/>
      </c>
      <c r="K38">
        <f>W38*(Inputs!$B$14+(Scenarios!$C$3-Inputs!$B$14)*MIN(10,5)/5)/(1+Scenarios!$C$4)^10</f>
        <v/>
      </c>
      <c r="L38">
        <f>W38*(Inputs!$B$14+(Scenarios!$C$3-Inputs!$B$14))*(1+Scenarios!$C$5)/(Scenarios!$C$4-Scenarios!$C$5)/(1+Scenarios!$C$4)^10</f>
        <v/>
      </c>
      <c r="M38">
        <f>(SUM(B38:L38)+Inputs!$B$17)*Inputs!$B$8/Inputs!$B$3*Inputs!$B$2</f>
        <v/>
      </c>
      <c r="N38">
        <f>Inputs!$B$6*(1+($A38-($A38-Scenarios!$C$5)*(1-1)/9))</f>
        <v/>
      </c>
      <c r="O38">
        <f>N38*(1+($A38-($A38-Scenarios!$C$5)*(2-1)/9))</f>
        <v/>
      </c>
      <c r="P38">
        <f>O38*(1+($A38-($A38-Scenarios!$C$5)*(3-1)/9))</f>
        <v/>
      </c>
      <c r="Q38">
        <f>P38*(1+($A38-($A38-Scenarios!$C$5)*(4-1)/9))</f>
        <v/>
      </c>
      <c r="R38">
        <f>Q38*(1+($A38-($A38-Scenarios!$C$5)*(5-1)/9))</f>
        <v/>
      </c>
      <c r="S38">
        <f>R38*(1+($A38-($A38-Scenarios!$C$5)*(6-1)/9))</f>
        <v/>
      </c>
      <c r="T38">
        <f>S38*(1+($A38-($A38-Scenarios!$C$5)*(7-1)/9))</f>
        <v/>
      </c>
      <c r="U38">
        <f>T38*(1+($A38-($A38-Scenarios!$C$5)*(8-1)/9))</f>
        <v/>
      </c>
      <c r="V38">
        <f>U38*(1+($A38-($A38-Scenarios!$C$5)*(9-1)/9))</f>
        <v/>
      </c>
      <c r="W38">
        <f>V38*(1+($A38-($A38-Scenarios!$C$5)*(10-1)/9))</f>
        <v/>
      </c>
    </row>
    <row r="39">
      <c r="A39" t="n">
        <v>0.575</v>
      </c>
      <c r="B39">
        <f>N39*(Inputs!$B$14+(Scenarios!$C$3-Inputs!$B$14)*MIN(1,5)/5)/(1+Scenarios!$C$4)^1</f>
        <v/>
      </c>
      <c r="C39">
        <f>O39*(Inputs!$B$14+(Scenarios!$C$3-Inputs!$B$14)*MIN(2,5)/5)/(1+Scenarios!$C$4)^2</f>
        <v/>
      </c>
      <c r="D39">
        <f>P39*(Inputs!$B$14+(Scenarios!$C$3-Inputs!$B$14)*MIN(3,5)/5)/(1+Scenarios!$C$4)^3</f>
        <v/>
      </c>
      <c r="E39">
        <f>Q39*(Inputs!$B$14+(Scenarios!$C$3-Inputs!$B$14)*MIN(4,5)/5)/(1+Scenarios!$C$4)^4</f>
        <v/>
      </c>
      <c r="F39">
        <f>R39*(Inputs!$B$14+(Scenarios!$C$3-Inputs!$B$14)*MIN(5,5)/5)/(1+Scenarios!$C$4)^5</f>
        <v/>
      </c>
      <c r="G39">
        <f>S39*(Inputs!$B$14+(Scenarios!$C$3-Inputs!$B$14)*MIN(6,5)/5)/(1+Scenarios!$C$4)^6</f>
        <v/>
      </c>
      <c r="H39">
        <f>T39*(Inputs!$B$14+(Scenarios!$C$3-Inputs!$B$14)*MIN(7,5)/5)/(1+Scenarios!$C$4)^7</f>
        <v/>
      </c>
      <c r="I39">
        <f>U39*(Inputs!$B$14+(Scenarios!$C$3-Inputs!$B$14)*MIN(8,5)/5)/(1+Scenarios!$C$4)^8</f>
        <v/>
      </c>
      <c r="J39">
        <f>V39*(Inputs!$B$14+(Scenarios!$C$3-Inputs!$B$14)*MIN(9,5)/5)/(1+Scenarios!$C$4)^9</f>
        <v/>
      </c>
      <c r="K39">
        <f>W39*(Inputs!$B$14+(Scenarios!$C$3-Inputs!$B$14)*MIN(10,5)/5)/(1+Scenarios!$C$4)^10</f>
        <v/>
      </c>
      <c r="L39">
        <f>W39*(Inputs!$B$14+(Scenarios!$C$3-Inputs!$B$14))*(1+Scenarios!$C$5)/(Scenarios!$C$4-Scenarios!$C$5)/(1+Scenarios!$C$4)^10</f>
        <v/>
      </c>
      <c r="M39">
        <f>(SUM(B39:L39)+Inputs!$B$17)*Inputs!$B$8/Inputs!$B$3*Inputs!$B$2</f>
        <v/>
      </c>
      <c r="N39">
        <f>Inputs!$B$6*(1+($A39-($A39-Scenarios!$C$5)*(1-1)/9))</f>
        <v/>
      </c>
      <c r="O39">
        <f>N39*(1+($A39-($A39-Scenarios!$C$5)*(2-1)/9))</f>
        <v/>
      </c>
      <c r="P39">
        <f>O39*(1+($A39-($A39-Scenarios!$C$5)*(3-1)/9))</f>
        <v/>
      </c>
      <c r="Q39">
        <f>P39*(1+($A39-($A39-Scenarios!$C$5)*(4-1)/9))</f>
        <v/>
      </c>
      <c r="R39">
        <f>Q39*(1+($A39-($A39-Scenarios!$C$5)*(5-1)/9))</f>
        <v/>
      </c>
      <c r="S39">
        <f>R39*(1+($A39-($A39-Scenarios!$C$5)*(6-1)/9))</f>
        <v/>
      </c>
      <c r="T39">
        <f>S39*(1+($A39-($A39-Scenarios!$C$5)*(7-1)/9))</f>
        <v/>
      </c>
      <c r="U39">
        <f>T39*(1+($A39-($A39-Scenarios!$C$5)*(8-1)/9))</f>
        <v/>
      </c>
      <c r="V39">
        <f>U39*(1+($A39-($A39-Scenarios!$C$5)*(9-1)/9))</f>
        <v/>
      </c>
      <c r="W39">
        <f>V39*(1+($A39-($A39-Scenarios!$C$5)*(10-1)/9))</f>
        <v/>
      </c>
    </row>
    <row r="40">
      <c r="A40" t="n">
        <v>0.6</v>
      </c>
      <c r="B40">
        <f>N40*(Inputs!$B$14+(Scenarios!$C$3-Inputs!$B$14)*MIN(1,5)/5)/(1+Scenarios!$C$4)^1</f>
        <v/>
      </c>
      <c r="C40">
        <f>O40*(Inputs!$B$14+(Scenarios!$C$3-Inputs!$B$14)*MIN(2,5)/5)/(1+Scenarios!$C$4)^2</f>
        <v/>
      </c>
      <c r="D40">
        <f>P40*(Inputs!$B$14+(Scenarios!$C$3-Inputs!$B$14)*MIN(3,5)/5)/(1+Scenarios!$C$4)^3</f>
        <v/>
      </c>
      <c r="E40">
        <f>Q40*(Inputs!$B$14+(Scenarios!$C$3-Inputs!$B$14)*MIN(4,5)/5)/(1+Scenarios!$C$4)^4</f>
        <v/>
      </c>
      <c r="F40">
        <f>R40*(Inputs!$B$14+(Scenarios!$C$3-Inputs!$B$14)*MIN(5,5)/5)/(1+Scenarios!$C$4)^5</f>
        <v/>
      </c>
      <c r="G40">
        <f>S40*(Inputs!$B$14+(Scenarios!$C$3-Inputs!$B$14)*MIN(6,5)/5)/(1+Scenarios!$C$4)^6</f>
        <v/>
      </c>
      <c r="H40">
        <f>T40*(Inputs!$B$14+(Scenarios!$C$3-Inputs!$B$14)*MIN(7,5)/5)/(1+Scenarios!$C$4)^7</f>
        <v/>
      </c>
      <c r="I40">
        <f>U40*(Inputs!$B$14+(Scenarios!$C$3-Inputs!$B$14)*MIN(8,5)/5)/(1+Scenarios!$C$4)^8</f>
        <v/>
      </c>
      <c r="J40">
        <f>V40*(Inputs!$B$14+(Scenarios!$C$3-Inputs!$B$14)*MIN(9,5)/5)/(1+Scenarios!$C$4)^9</f>
        <v/>
      </c>
      <c r="K40">
        <f>W40*(Inputs!$B$14+(Scenarios!$C$3-Inputs!$B$14)*MIN(10,5)/5)/(1+Scenarios!$C$4)^10</f>
        <v/>
      </c>
      <c r="L40">
        <f>W40*(Inputs!$B$14+(Scenarios!$C$3-Inputs!$B$14))*(1+Scenarios!$C$5)/(Scenarios!$C$4-Scenarios!$C$5)/(1+Scenarios!$C$4)^10</f>
        <v/>
      </c>
      <c r="M40">
        <f>(SUM(B40:L40)+Inputs!$B$17)*Inputs!$B$8/Inputs!$B$3*Inputs!$B$2</f>
        <v/>
      </c>
      <c r="N40">
        <f>Inputs!$B$6*(1+($A40-($A40-Scenarios!$C$5)*(1-1)/9))</f>
        <v/>
      </c>
      <c r="O40">
        <f>N40*(1+($A40-($A40-Scenarios!$C$5)*(2-1)/9))</f>
        <v/>
      </c>
      <c r="P40">
        <f>O40*(1+($A40-($A40-Scenarios!$C$5)*(3-1)/9))</f>
        <v/>
      </c>
      <c r="Q40">
        <f>P40*(1+($A40-($A40-Scenarios!$C$5)*(4-1)/9))</f>
        <v/>
      </c>
      <c r="R40">
        <f>Q40*(1+($A40-($A40-Scenarios!$C$5)*(5-1)/9))</f>
        <v/>
      </c>
      <c r="S40">
        <f>R40*(1+($A40-($A40-Scenarios!$C$5)*(6-1)/9))</f>
        <v/>
      </c>
      <c r="T40">
        <f>S40*(1+($A40-($A40-Scenarios!$C$5)*(7-1)/9))</f>
        <v/>
      </c>
      <c r="U40">
        <f>T40*(1+($A40-($A40-Scenarios!$C$5)*(8-1)/9))</f>
        <v/>
      </c>
      <c r="V40">
        <f>U40*(1+($A40-($A40-Scenarios!$C$5)*(9-1)/9))</f>
        <v/>
      </c>
      <c r="W40">
        <f>V40*(1+($A40-($A40-Scenarios!$C$5)*(10-1)/9))</f>
        <v/>
      </c>
    </row>
    <row r="41">
      <c r="A41" t="n">
        <v>0.625</v>
      </c>
      <c r="B41">
        <f>N41*(Inputs!$B$14+(Scenarios!$C$3-Inputs!$B$14)*MIN(1,5)/5)/(1+Scenarios!$C$4)^1</f>
        <v/>
      </c>
      <c r="C41">
        <f>O41*(Inputs!$B$14+(Scenarios!$C$3-Inputs!$B$14)*MIN(2,5)/5)/(1+Scenarios!$C$4)^2</f>
        <v/>
      </c>
      <c r="D41">
        <f>P41*(Inputs!$B$14+(Scenarios!$C$3-Inputs!$B$14)*MIN(3,5)/5)/(1+Scenarios!$C$4)^3</f>
        <v/>
      </c>
      <c r="E41">
        <f>Q41*(Inputs!$B$14+(Scenarios!$C$3-Inputs!$B$14)*MIN(4,5)/5)/(1+Scenarios!$C$4)^4</f>
        <v/>
      </c>
      <c r="F41">
        <f>R41*(Inputs!$B$14+(Scenarios!$C$3-Inputs!$B$14)*MIN(5,5)/5)/(1+Scenarios!$C$4)^5</f>
        <v/>
      </c>
      <c r="G41">
        <f>S41*(Inputs!$B$14+(Scenarios!$C$3-Inputs!$B$14)*MIN(6,5)/5)/(1+Scenarios!$C$4)^6</f>
        <v/>
      </c>
      <c r="H41">
        <f>T41*(Inputs!$B$14+(Scenarios!$C$3-Inputs!$B$14)*MIN(7,5)/5)/(1+Scenarios!$C$4)^7</f>
        <v/>
      </c>
      <c r="I41">
        <f>U41*(Inputs!$B$14+(Scenarios!$C$3-Inputs!$B$14)*MIN(8,5)/5)/(1+Scenarios!$C$4)^8</f>
        <v/>
      </c>
      <c r="J41">
        <f>V41*(Inputs!$B$14+(Scenarios!$C$3-Inputs!$B$14)*MIN(9,5)/5)/(1+Scenarios!$C$4)^9</f>
        <v/>
      </c>
      <c r="K41">
        <f>W41*(Inputs!$B$14+(Scenarios!$C$3-Inputs!$B$14)*MIN(10,5)/5)/(1+Scenarios!$C$4)^10</f>
        <v/>
      </c>
      <c r="L41">
        <f>W41*(Inputs!$B$14+(Scenarios!$C$3-Inputs!$B$14))*(1+Scenarios!$C$5)/(Scenarios!$C$4-Scenarios!$C$5)/(1+Scenarios!$C$4)^10</f>
        <v/>
      </c>
      <c r="M41">
        <f>(SUM(B41:L41)+Inputs!$B$17)*Inputs!$B$8/Inputs!$B$3*Inputs!$B$2</f>
        <v/>
      </c>
      <c r="N41">
        <f>Inputs!$B$6*(1+($A41-($A41-Scenarios!$C$5)*(1-1)/9))</f>
        <v/>
      </c>
      <c r="O41">
        <f>N41*(1+($A41-($A41-Scenarios!$C$5)*(2-1)/9))</f>
        <v/>
      </c>
      <c r="P41">
        <f>O41*(1+($A41-($A41-Scenarios!$C$5)*(3-1)/9))</f>
        <v/>
      </c>
      <c r="Q41">
        <f>P41*(1+($A41-($A41-Scenarios!$C$5)*(4-1)/9))</f>
        <v/>
      </c>
      <c r="R41">
        <f>Q41*(1+($A41-($A41-Scenarios!$C$5)*(5-1)/9))</f>
        <v/>
      </c>
      <c r="S41">
        <f>R41*(1+($A41-($A41-Scenarios!$C$5)*(6-1)/9))</f>
        <v/>
      </c>
      <c r="T41">
        <f>S41*(1+($A41-($A41-Scenarios!$C$5)*(7-1)/9))</f>
        <v/>
      </c>
      <c r="U41">
        <f>T41*(1+($A41-($A41-Scenarios!$C$5)*(8-1)/9))</f>
        <v/>
      </c>
      <c r="V41">
        <f>U41*(1+($A41-($A41-Scenarios!$C$5)*(9-1)/9))</f>
        <v/>
      </c>
      <c r="W41">
        <f>V41*(1+($A41-($A41-Scenarios!$C$5)*(10-1)/9))</f>
        <v/>
      </c>
    </row>
    <row r="42">
      <c r="A42" t="n">
        <v>0.65</v>
      </c>
      <c r="B42">
        <f>N42*(Inputs!$B$14+(Scenarios!$C$3-Inputs!$B$14)*MIN(1,5)/5)/(1+Scenarios!$C$4)^1</f>
        <v/>
      </c>
      <c r="C42">
        <f>O42*(Inputs!$B$14+(Scenarios!$C$3-Inputs!$B$14)*MIN(2,5)/5)/(1+Scenarios!$C$4)^2</f>
        <v/>
      </c>
      <c r="D42">
        <f>P42*(Inputs!$B$14+(Scenarios!$C$3-Inputs!$B$14)*MIN(3,5)/5)/(1+Scenarios!$C$4)^3</f>
        <v/>
      </c>
      <c r="E42">
        <f>Q42*(Inputs!$B$14+(Scenarios!$C$3-Inputs!$B$14)*MIN(4,5)/5)/(1+Scenarios!$C$4)^4</f>
        <v/>
      </c>
      <c r="F42">
        <f>R42*(Inputs!$B$14+(Scenarios!$C$3-Inputs!$B$14)*MIN(5,5)/5)/(1+Scenarios!$C$4)^5</f>
        <v/>
      </c>
      <c r="G42">
        <f>S42*(Inputs!$B$14+(Scenarios!$C$3-Inputs!$B$14)*MIN(6,5)/5)/(1+Scenarios!$C$4)^6</f>
        <v/>
      </c>
      <c r="H42">
        <f>T42*(Inputs!$B$14+(Scenarios!$C$3-Inputs!$B$14)*MIN(7,5)/5)/(1+Scenarios!$C$4)^7</f>
        <v/>
      </c>
      <c r="I42">
        <f>U42*(Inputs!$B$14+(Scenarios!$C$3-Inputs!$B$14)*MIN(8,5)/5)/(1+Scenarios!$C$4)^8</f>
        <v/>
      </c>
      <c r="J42">
        <f>V42*(Inputs!$B$14+(Scenarios!$C$3-Inputs!$B$14)*MIN(9,5)/5)/(1+Scenarios!$C$4)^9</f>
        <v/>
      </c>
      <c r="K42">
        <f>W42*(Inputs!$B$14+(Scenarios!$C$3-Inputs!$B$14)*MIN(10,5)/5)/(1+Scenarios!$C$4)^10</f>
        <v/>
      </c>
      <c r="L42">
        <f>W42*(Inputs!$B$14+(Scenarios!$C$3-Inputs!$B$14))*(1+Scenarios!$C$5)/(Scenarios!$C$4-Scenarios!$C$5)/(1+Scenarios!$C$4)^10</f>
        <v/>
      </c>
      <c r="M42">
        <f>(SUM(B42:L42)+Inputs!$B$17)*Inputs!$B$8/Inputs!$B$3*Inputs!$B$2</f>
        <v/>
      </c>
      <c r="N42">
        <f>Inputs!$B$6*(1+($A42-($A42-Scenarios!$C$5)*(1-1)/9))</f>
        <v/>
      </c>
      <c r="O42">
        <f>N42*(1+($A42-($A42-Scenarios!$C$5)*(2-1)/9))</f>
        <v/>
      </c>
      <c r="P42">
        <f>O42*(1+($A42-($A42-Scenarios!$C$5)*(3-1)/9))</f>
        <v/>
      </c>
      <c r="Q42">
        <f>P42*(1+($A42-($A42-Scenarios!$C$5)*(4-1)/9))</f>
        <v/>
      </c>
      <c r="R42">
        <f>Q42*(1+($A42-($A42-Scenarios!$C$5)*(5-1)/9))</f>
        <v/>
      </c>
      <c r="S42">
        <f>R42*(1+($A42-($A42-Scenarios!$C$5)*(6-1)/9))</f>
        <v/>
      </c>
      <c r="T42">
        <f>S42*(1+($A42-($A42-Scenarios!$C$5)*(7-1)/9))</f>
        <v/>
      </c>
      <c r="U42">
        <f>T42*(1+($A42-($A42-Scenarios!$C$5)*(8-1)/9))</f>
        <v/>
      </c>
      <c r="V42">
        <f>U42*(1+($A42-($A42-Scenarios!$C$5)*(9-1)/9))</f>
        <v/>
      </c>
      <c r="W42">
        <f>V42*(1+($A42-($A42-Scenarios!$C$5)*(10-1)/9))</f>
        <v/>
      </c>
    </row>
    <row r="43">
      <c r="A43" t="n">
        <v>0.675</v>
      </c>
      <c r="B43">
        <f>N43*(Inputs!$B$14+(Scenarios!$C$3-Inputs!$B$14)*MIN(1,5)/5)/(1+Scenarios!$C$4)^1</f>
        <v/>
      </c>
      <c r="C43">
        <f>O43*(Inputs!$B$14+(Scenarios!$C$3-Inputs!$B$14)*MIN(2,5)/5)/(1+Scenarios!$C$4)^2</f>
        <v/>
      </c>
      <c r="D43">
        <f>P43*(Inputs!$B$14+(Scenarios!$C$3-Inputs!$B$14)*MIN(3,5)/5)/(1+Scenarios!$C$4)^3</f>
        <v/>
      </c>
      <c r="E43">
        <f>Q43*(Inputs!$B$14+(Scenarios!$C$3-Inputs!$B$14)*MIN(4,5)/5)/(1+Scenarios!$C$4)^4</f>
        <v/>
      </c>
      <c r="F43">
        <f>R43*(Inputs!$B$14+(Scenarios!$C$3-Inputs!$B$14)*MIN(5,5)/5)/(1+Scenarios!$C$4)^5</f>
        <v/>
      </c>
      <c r="G43">
        <f>S43*(Inputs!$B$14+(Scenarios!$C$3-Inputs!$B$14)*MIN(6,5)/5)/(1+Scenarios!$C$4)^6</f>
        <v/>
      </c>
      <c r="H43">
        <f>T43*(Inputs!$B$14+(Scenarios!$C$3-Inputs!$B$14)*MIN(7,5)/5)/(1+Scenarios!$C$4)^7</f>
        <v/>
      </c>
      <c r="I43">
        <f>U43*(Inputs!$B$14+(Scenarios!$C$3-Inputs!$B$14)*MIN(8,5)/5)/(1+Scenarios!$C$4)^8</f>
        <v/>
      </c>
      <c r="J43">
        <f>V43*(Inputs!$B$14+(Scenarios!$C$3-Inputs!$B$14)*MIN(9,5)/5)/(1+Scenarios!$C$4)^9</f>
        <v/>
      </c>
      <c r="K43">
        <f>W43*(Inputs!$B$14+(Scenarios!$C$3-Inputs!$B$14)*MIN(10,5)/5)/(1+Scenarios!$C$4)^10</f>
        <v/>
      </c>
      <c r="L43">
        <f>W43*(Inputs!$B$14+(Scenarios!$C$3-Inputs!$B$14))*(1+Scenarios!$C$5)/(Scenarios!$C$4-Scenarios!$C$5)/(1+Scenarios!$C$4)^10</f>
        <v/>
      </c>
      <c r="M43">
        <f>(SUM(B43:L43)+Inputs!$B$17)*Inputs!$B$8/Inputs!$B$3*Inputs!$B$2</f>
        <v/>
      </c>
      <c r="N43">
        <f>Inputs!$B$6*(1+($A43-($A43-Scenarios!$C$5)*(1-1)/9))</f>
        <v/>
      </c>
      <c r="O43">
        <f>N43*(1+($A43-($A43-Scenarios!$C$5)*(2-1)/9))</f>
        <v/>
      </c>
      <c r="P43">
        <f>O43*(1+($A43-($A43-Scenarios!$C$5)*(3-1)/9))</f>
        <v/>
      </c>
      <c r="Q43">
        <f>P43*(1+($A43-($A43-Scenarios!$C$5)*(4-1)/9))</f>
        <v/>
      </c>
      <c r="R43">
        <f>Q43*(1+($A43-($A43-Scenarios!$C$5)*(5-1)/9))</f>
        <v/>
      </c>
      <c r="S43">
        <f>R43*(1+($A43-($A43-Scenarios!$C$5)*(6-1)/9))</f>
        <v/>
      </c>
      <c r="T43">
        <f>S43*(1+($A43-($A43-Scenarios!$C$5)*(7-1)/9))</f>
        <v/>
      </c>
      <c r="U43">
        <f>T43*(1+($A43-($A43-Scenarios!$C$5)*(8-1)/9))</f>
        <v/>
      </c>
      <c r="V43">
        <f>U43*(1+($A43-($A43-Scenarios!$C$5)*(9-1)/9))</f>
        <v/>
      </c>
      <c r="W43">
        <f>V43*(1+($A43-($A43-Scenarios!$C$5)*(10-1)/9))</f>
        <v/>
      </c>
    </row>
    <row r="44">
      <c r="A44" t="n">
        <v>0.7</v>
      </c>
      <c r="B44">
        <f>N44*(Inputs!$B$14+(Scenarios!$C$3-Inputs!$B$14)*MIN(1,5)/5)/(1+Scenarios!$C$4)^1</f>
        <v/>
      </c>
      <c r="C44">
        <f>O44*(Inputs!$B$14+(Scenarios!$C$3-Inputs!$B$14)*MIN(2,5)/5)/(1+Scenarios!$C$4)^2</f>
        <v/>
      </c>
      <c r="D44">
        <f>P44*(Inputs!$B$14+(Scenarios!$C$3-Inputs!$B$14)*MIN(3,5)/5)/(1+Scenarios!$C$4)^3</f>
        <v/>
      </c>
      <c r="E44">
        <f>Q44*(Inputs!$B$14+(Scenarios!$C$3-Inputs!$B$14)*MIN(4,5)/5)/(1+Scenarios!$C$4)^4</f>
        <v/>
      </c>
      <c r="F44">
        <f>R44*(Inputs!$B$14+(Scenarios!$C$3-Inputs!$B$14)*MIN(5,5)/5)/(1+Scenarios!$C$4)^5</f>
        <v/>
      </c>
      <c r="G44">
        <f>S44*(Inputs!$B$14+(Scenarios!$C$3-Inputs!$B$14)*MIN(6,5)/5)/(1+Scenarios!$C$4)^6</f>
        <v/>
      </c>
      <c r="H44">
        <f>T44*(Inputs!$B$14+(Scenarios!$C$3-Inputs!$B$14)*MIN(7,5)/5)/(1+Scenarios!$C$4)^7</f>
        <v/>
      </c>
      <c r="I44">
        <f>U44*(Inputs!$B$14+(Scenarios!$C$3-Inputs!$B$14)*MIN(8,5)/5)/(1+Scenarios!$C$4)^8</f>
        <v/>
      </c>
      <c r="J44">
        <f>V44*(Inputs!$B$14+(Scenarios!$C$3-Inputs!$B$14)*MIN(9,5)/5)/(1+Scenarios!$C$4)^9</f>
        <v/>
      </c>
      <c r="K44">
        <f>W44*(Inputs!$B$14+(Scenarios!$C$3-Inputs!$B$14)*MIN(10,5)/5)/(1+Scenarios!$C$4)^10</f>
        <v/>
      </c>
      <c r="L44">
        <f>W44*(Inputs!$B$14+(Scenarios!$C$3-Inputs!$B$14))*(1+Scenarios!$C$5)/(Scenarios!$C$4-Scenarios!$C$5)/(1+Scenarios!$C$4)^10</f>
        <v/>
      </c>
      <c r="M44">
        <f>(SUM(B44:L44)+Inputs!$B$17)*Inputs!$B$8/Inputs!$B$3*Inputs!$B$2</f>
        <v/>
      </c>
      <c r="N44">
        <f>Inputs!$B$6*(1+($A44-($A44-Scenarios!$C$5)*(1-1)/9))</f>
        <v/>
      </c>
      <c r="O44">
        <f>N44*(1+($A44-($A44-Scenarios!$C$5)*(2-1)/9))</f>
        <v/>
      </c>
      <c r="P44">
        <f>O44*(1+($A44-($A44-Scenarios!$C$5)*(3-1)/9))</f>
        <v/>
      </c>
      <c r="Q44">
        <f>P44*(1+($A44-($A44-Scenarios!$C$5)*(4-1)/9))</f>
        <v/>
      </c>
      <c r="R44">
        <f>Q44*(1+($A44-($A44-Scenarios!$C$5)*(5-1)/9))</f>
        <v/>
      </c>
      <c r="S44">
        <f>R44*(1+($A44-($A44-Scenarios!$C$5)*(6-1)/9))</f>
        <v/>
      </c>
      <c r="T44">
        <f>S44*(1+($A44-($A44-Scenarios!$C$5)*(7-1)/9))</f>
        <v/>
      </c>
      <c r="U44">
        <f>T44*(1+($A44-($A44-Scenarios!$C$5)*(8-1)/9))</f>
        <v/>
      </c>
      <c r="V44">
        <f>U44*(1+($A44-($A44-Scenarios!$C$5)*(9-1)/9))</f>
        <v/>
      </c>
      <c r="W44">
        <f>V44*(1+($A44-($A44-Scenarios!$C$5)*(10-1)/9))</f>
        <v/>
      </c>
    </row>
    <row r="45">
      <c r="A45" t="n">
        <v>0.725</v>
      </c>
      <c r="B45">
        <f>N45*(Inputs!$B$14+(Scenarios!$C$3-Inputs!$B$14)*MIN(1,5)/5)/(1+Scenarios!$C$4)^1</f>
        <v/>
      </c>
      <c r="C45">
        <f>O45*(Inputs!$B$14+(Scenarios!$C$3-Inputs!$B$14)*MIN(2,5)/5)/(1+Scenarios!$C$4)^2</f>
        <v/>
      </c>
      <c r="D45">
        <f>P45*(Inputs!$B$14+(Scenarios!$C$3-Inputs!$B$14)*MIN(3,5)/5)/(1+Scenarios!$C$4)^3</f>
        <v/>
      </c>
      <c r="E45">
        <f>Q45*(Inputs!$B$14+(Scenarios!$C$3-Inputs!$B$14)*MIN(4,5)/5)/(1+Scenarios!$C$4)^4</f>
        <v/>
      </c>
      <c r="F45">
        <f>R45*(Inputs!$B$14+(Scenarios!$C$3-Inputs!$B$14)*MIN(5,5)/5)/(1+Scenarios!$C$4)^5</f>
        <v/>
      </c>
      <c r="G45">
        <f>S45*(Inputs!$B$14+(Scenarios!$C$3-Inputs!$B$14)*MIN(6,5)/5)/(1+Scenarios!$C$4)^6</f>
        <v/>
      </c>
      <c r="H45">
        <f>T45*(Inputs!$B$14+(Scenarios!$C$3-Inputs!$B$14)*MIN(7,5)/5)/(1+Scenarios!$C$4)^7</f>
        <v/>
      </c>
      <c r="I45">
        <f>U45*(Inputs!$B$14+(Scenarios!$C$3-Inputs!$B$14)*MIN(8,5)/5)/(1+Scenarios!$C$4)^8</f>
        <v/>
      </c>
      <c r="J45">
        <f>V45*(Inputs!$B$14+(Scenarios!$C$3-Inputs!$B$14)*MIN(9,5)/5)/(1+Scenarios!$C$4)^9</f>
        <v/>
      </c>
      <c r="K45">
        <f>W45*(Inputs!$B$14+(Scenarios!$C$3-Inputs!$B$14)*MIN(10,5)/5)/(1+Scenarios!$C$4)^10</f>
        <v/>
      </c>
      <c r="L45">
        <f>W45*(Inputs!$B$14+(Scenarios!$C$3-Inputs!$B$14))*(1+Scenarios!$C$5)/(Scenarios!$C$4-Scenarios!$C$5)/(1+Scenarios!$C$4)^10</f>
        <v/>
      </c>
      <c r="M45">
        <f>(SUM(B45:L45)+Inputs!$B$17)*Inputs!$B$8/Inputs!$B$3*Inputs!$B$2</f>
        <v/>
      </c>
      <c r="N45">
        <f>Inputs!$B$6*(1+($A45-($A45-Scenarios!$C$5)*(1-1)/9))</f>
        <v/>
      </c>
      <c r="O45">
        <f>N45*(1+($A45-($A45-Scenarios!$C$5)*(2-1)/9))</f>
        <v/>
      </c>
      <c r="P45">
        <f>O45*(1+($A45-($A45-Scenarios!$C$5)*(3-1)/9))</f>
        <v/>
      </c>
      <c r="Q45">
        <f>P45*(1+($A45-($A45-Scenarios!$C$5)*(4-1)/9))</f>
        <v/>
      </c>
      <c r="R45">
        <f>Q45*(1+($A45-($A45-Scenarios!$C$5)*(5-1)/9))</f>
        <v/>
      </c>
      <c r="S45">
        <f>R45*(1+($A45-($A45-Scenarios!$C$5)*(6-1)/9))</f>
        <v/>
      </c>
      <c r="T45">
        <f>S45*(1+($A45-($A45-Scenarios!$C$5)*(7-1)/9))</f>
        <v/>
      </c>
      <c r="U45">
        <f>T45*(1+($A45-($A45-Scenarios!$C$5)*(8-1)/9))</f>
        <v/>
      </c>
      <c r="V45">
        <f>U45*(1+($A45-($A45-Scenarios!$C$5)*(9-1)/9))</f>
        <v/>
      </c>
      <c r="W45">
        <f>V45*(1+($A45-($A45-Scenarios!$C$5)*(10-1)/9))</f>
        <v/>
      </c>
    </row>
    <row r="46">
      <c r="A46" t="n">
        <v>0.75</v>
      </c>
      <c r="B46">
        <f>N46*(Inputs!$B$14+(Scenarios!$C$3-Inputs!$B$14)*MIN(1,5)/5)/(1+Scenarios!$C$4)^1</f>
        <v/>
      </c>
      <c r="C46">
        <f>O46*(Inputs!$B$14+(Scenarios!$C$3-Inputs!$B$14)*MIN(2,5)/5)/(1+Scenarios!$C$4)^2</f>
        <v/>
      </c>
      <c r="D46">
        <f>P46*(Inputs!$B$14+(Scenarios!$C$3-Inputs!$B$14)*MIN(3,5)/5)/(1+Scenarios!$C$4)^3</f>
        <v/>
      </c>
      <c r="E46">
        <f>Q46*(Inputs!$B$14+(Scenarios!$C$3-Inputs!$B$14)*MIN(4,5)/5)/(1+Scenarios!$C$4)^4</f>
        <v/>
      </c>
      <c r="F46">
        <f>R46*(Inputs!$B$14+(Scenarios!$C$3-Inputs!$B$14)*MIN(5,5)/5)/(1+Scenarios!$C$4)^5</f>
        <v/>
      </c>
      <c r="G46">
        <f>S46*(Inputs!$B$14+(Scenarios!$C$3-Inputs!$B$14)*MIN(6,5)/5)/(1+Scenarios!$C$4)^6</f>
        <v/>
      </c>
      <c r="H46">
        <f>T46*(Inputs!$B$14+(Scenarios!$C$3-Inputs!$B$14)*MIN(7,5)/5)/(1+Scenarios!$C$4)^7</f>
        <v/>
      </c>
      <c r="I46">
        <f>U46*(Inputs!$B$14+(Scenarios!$C$3-Inputs!$B$14)*MIN(8,5)/5)/(1+Scenarios!$C$4)^8</f>
        <v/>
      </c>
      <c r="J46">
        <f>V46*(Inputs!$B$14+(Scenarios!$C$3-Inputs!$B$14)*MIN(9,5)/5)/(1+Scenarios!$C$4)^9</f>
        <v/>
      </c>
      <c r="K46">
        <f>W46*(Inputs!$B$14+(Scenarios!$C$3-Inputs!$B$14)*MIN(10,5)/5)/(1+Scenarios!$C$4)^10</f>
        <v/>
      </c>
      <c r="L46">
        <f>W46*(Inputs!$B$14+(Scenarios!$C$3-Inputs!$B$14))*(1+Scenarios!$C$5)/(Scenarios!$C$4-Scenarios!$C$5)/(1+Scenarios!$C$4)^10</f>
        <v/>
      </c>
      <c r="M46">
        <f>(SUM(B46:L46)+Inputs!$B$17)*Inputs!$B$8/Inputs!$B$3*Inputs!$B$2</f>
        <v/>
      </c>
      <c r="N46">
        <f>Inputs!$B$6*(1+($A46-($A46-Scenarios!$C$5)*(1-1)/9))</f>
        <v/>
      </c>
      <c r="O46">
        <f>N46*(1+($A46-($A46-Scenarios!$C$5)*(2-1)/9))</f>
        <v/>
      </c>
      <c r="P46">
        <f>O46*(1+($A46-($A46-Scenarios!$C$5)*(3-1)/9))</f>
        <v/>
      </c>
      <c r="Q46">
        <f>P46*(1+($A46-($A46-Scenarios!$C$5)*(4-1)/9))</f>
        <v/>
      </c>
      <c r="R46">
        <f>Q46*(1+($A46-($A46-Scenarios!$C$5)*(5-1)/9))</f>
        <v/>
      </c>
      <c r="S46">
        <f>R46*(1+($A46-($A46-Scenarios!$C$5)*(6-1)/9))</f>
        <v/>
      </c>
      <c r="T46">
        <f>S46*(1+($A46-($A46-Scenarios!$C$5)*(7-1)/9))</f>
        <v/>
      </c>
      <c r="U46">
        <f>T46*(1+($A46-($A46-Scenarios!$C$5)*(8-1)/9))</f>
        <v/>
      </c>
      <c r="V46">
        <f>U46*(1+($A46-($A46-Scenarios!$C$5)*(9-1)/9))</f>
        <v/>
      </c>
      <c r="W46">
        <f>V46*(1+($A46-($A46-Scenarios!$C$5)*(10-1)/9))</f>
        <v/>
      </c>
    </row>
    <row r="47">
      <c r="A47" t="n">
        <v>0.775</v>
      </c>
      <c r="B47">
        <f>N47*(Inputs!$B$14+(Scenarios!$C$3-Inputs!$B$14)*MIN(1,5)/5)/(1+Scenarios!$C$4)^1</f>
        <v/>
      </c>
      <c r="C47">
        <f>O47*(Inputs!$B$14+(Scenarios!$C$3-Inputs!$B$14)*MIN(2,5)/5)/(1+Scenarios!$C$4)^2</f>
        <v/>
      </c>
      <c r="D47">
        <f>P47*(Inputs!$B$14+(Scenarios!$C$3-Inputs!$B$14)*MIN(3,5)/5)/(1+Scenarios!$C$4)^3</f>
        <v/>
      </c>
      <c r="E47">
        <f>Q47*(Inputs!$B$14+(Scenarios!$C$3-Inputs!$B$14)*MIN(4,5)/5)/(1+Scenarios!$C$4)^4</f>
        <v/>
      </c>
      <c r="F47">
        <f>R47*(Inputs!$B$14+(Scenarios!$C$3-Inputs!$B$14)*MIN(5,5)/5)/(1+Scenarios!$C$4)^5</f>
        <v/>
      </c>
      <c r="G47">
        <f>S47*(Inputs!$B$14+(Scenarios!$C$3-Inputs!$B$14)*MIN(6,5)/5)/(1+Scenarios!$C$4)^6</f>
        <v/>
      </c>
      <c r="H47">
        <f>T47*(Inputs!$B$14+(Scenarios!$C$3-Inputs!$B$14)*MIN(7,5)/5)/(1+Scenarios!$C$4)^7</f>
        <v/>
      </c>
      <c r="I47">
        <f>U47*(Inputs!$B$14+(Scenarios!$C$3-Inputs!$B$14)*MIN(8,5)/5)/(1+Scenarios!$C$4)^8</f>
        <v/>
      </c>
      <c r="J47">
        <f>V47*(Inputs!$B$14+(Scenarios!$C$3-Inputs!$B$14)*MIN(9,5)/5)/(1+Scenarios!$C$4)^9</f>
        <v/>
      </c>
      <c r="K47">
        <f>W47*(Inputs!$B$14+(Scenarios!$C$3-Inputs!$B$14)*MIN(10,5)/5)/(1+Scenarios!$C$4)^10</f>
        <v/>
      </c>
      <c r="L47">
        <f>W47*(Inputs!$B$14+(Scenarios!$C$3-Inputs!$B$14))*(1+Scenarios!$C$5)/(Scenarios!$C$4-Scenarios!$C$5)/(1+Scenarios!$C$4)^10</f>
        <v/>
      </c>
      <c r="M47">
        <f>(SUM(B47:L47)+Inputs!$B$17)*Inputs!$B$8/Inputs!$B$3*Inputs!$B$2</f>
        <v/>
      </c>
      <c r="N47">
        <f>Inputs!$B$6*(1+($A47-($A47-Scenarios!$C$5)*(1-1)/9))</f>
        <v/>
      </c>
      <c r="O47">
        <f>N47*(1+($A47-($A47-Scenarios!$C$5)*(2-1)/9))</f>
        <v/>
      </c>
      <c r="P47">
        <f>O47*(1+($A47-($A47-Scenarios!$C$5)*(3-1)/9))</f>
        <v/>
      </c>
      <c r="Q47">
        <f>P47*(1+($A47-($A47-Scenarios!$C$5)*(4-1)/9))</f>
        <v/>
      </c>
      <c r="R47">
        <f>Q47*(1+($A47-($A47-Scenarios!$C$5)*(5-1)/9))</f>
        <v/>
      </c>
      <c r="S47">
        <f>R47*(1+($A47-($A47-Scenarios!$C$5)*(6-1)/9))</f>
        <v/>
      </c>
      <c r="T47">
        <f>S47*(1+($A47-($A47-Scenarios!$C$5)*(7-1)/9))</f>
        <v/>
      </c>
      <c r="U47">
        <f>T47*(1+($A47-($A47-Scenarios!$C$5)*(8-1)/9))</f>
        <v/>
      </c>
      <c r="V47">
        <f>U47*(1+($A47-($A47-Scenarios!$C$5)*(9-1)/9))</f>
        <v/>
      </c>
      <c r="W47">
        <f>V47*(1+($A47-($A47-Scenarios!$C$5)*(10-1)/9))</f>
        <v/>
      </c>
    </row>
    <row r="48">
      <c r="A48" t="n">
        <v>0.8</v>
      </c>
      <c r="B48">
        <f>N48*(Inputs!$B$14+(Scenarios!$C$3-Inputs!$B$14)*MIN(1,5)/5)/(1+Scenarios!$C$4)^1</f>
        <v/>
      </c>
      <c r="C48">
        <f>O48*(Inputs!$B$14+(Scenarios!$C$3-Inputs!$B$14)*MIN(2,5)/5)/(1+Scenarios!$C$4)^2</f>
        <v/>
      </c>
      <c r="D48">
        <f>P48*(Inputs!$B$14+(Scenarios!$C$3-Inputs!$B$14)*MIN(3,5)/5)/(1+Scenarios!$C$4)^3</f>
        <v/>
      </c>
      <c r="E48">
        <f>Q48*(Inputs!$B$14+(Scenarios!$C$3-Inputs!$B$14)*MIN(4,5)/5)/(1+Scenarios!$C$4)^4</f>
        <v/>
      </c>
      <c r="F48">
        <f>R48*(Inputs!$B$14+(Scenarios!$C$3-Inputs!$B$14)*MIN(5,5)/5)/(1+Scenarios!$C$4)^5</f>
        <v/>
      </c>
      <c r="G48">
        <f>S48*(Inputs!$B$14+(Scenarios!$C$3-Inputs!$B$14)*MIN(6,5)/5)/(1+Scenarios!$C$4)^6</f>
        <v/>
      </c>
      <c r="H48">
        <f>T48*(Inputs!$B$14+(Scenarios!$C$3-Inputs!$B$14)*MIN(7,5)/5)/(1+Scenarios!$C$4)^7</f>
        <v/>
      </c>
      <c r="I48">
        <f>U48*(Inputs!$B$14+(Scenarios!$C$3-Inputs!$B$14)*MIN(8,5)/5)/(1+Scenarios!$C$4)^8</f>
        <v/>
      </c>
      <c r="J48">
        <f>V48*(Inputs!$B$14+(Scenarios!$C$3-Inputs!$B$14)*MIN(9,5)/5)/(1+Scenarios!$C$4)^9</f>
        <v/>
      </c>
      <c r="K48">
        <f>W48*(Inputs!$B$14+(Scenarios!$C$3-Inputs!$B$14)*MIN(10,5)/5)/(1+Scenarios!$C$4)^10</f>
        <v/>
      </c>
      <c r="L48">
        <f>W48*(Inputs!$B$14+(Scenarios!$C$3-Inputs!$B$14))*(1+Scenarios!$C$5)/(Scenarios!$C$4-Scenarios!$C$5)/(1+Scenarios!$C$4)^10</f>
        <v/>
      </c>
      <c r="M48">
        <f>(SUM(B48:L48)+Inputs!$B$17)*Inputs!$B$8/Inputs!$B$3*Inputs!$B$2</f>
        <v/>
      </c>
      <c r="N48">
        <f>Inputs!$B$6*(1+($A48-($A48-Scenarios!$C$5)*(1-1)/9))</f>
        <v/>
      </c>
      <c r="O48">
        <f>N48*(1+($A48-($A48-Scenarios!$C$5)*(2-1)/9))</f>
        <v/>
      </c>
      <c r="P48">
        <f>O48*(1+($A48-($A48-Scenarios!$C$5)*(3-1)/9))</f>
        <v/>
      </c>
      <c r="Q48">
        <f>P48*(1+($A48-($A48-Scenarios!$C$5)*(4-1)/9))</f>
        <v/>
      </c>
      <c r="R48">
        <f>Q48*(1+($A48-($A48-Scenarios!$C$5)*(5-1)/9))</f>
        <v/>
      </c>
      <c r="S48">
        <f>R48*(1+($A48-($A48-Scenarios!$C$5)*(6-1)/9))</f>
        <v/>
      </c>
      <c r="T48">
        <f>S48*(1+($A48-($A48-Scenarios!$C$5)*(7-1)/9))</f>
        <v/>
      </c>
      <c r="U48">
        <f>T48*(1+($A48-($A48-Scenarios!$C$5)*(8-1)/9))</f>
        <v/>
      </c>
      <c r="V48">
        <f>U48*(1+($A48-($A48-Scenarios!$C$5)*(9-1)/9))</f>
        <v/>
      </c>
      <c r="W48">
        <f>V48*(1+($A48-($A48-Scenarios!$C$5)*(10-1)/9))</f>
        <v/>
      </c>
    </row>
    <row r="49">
      <c r="A49" t="n">
        <v>0.825</v>
      </c>
      <c r="B49">
        <f>N49*(Inputs!$B$14+(Scenarios!$C$3-Inputs!$B$14)*MIN(1,5)/5)/(1+Scenarios!$C$4)^1</f>
        <v/>
      </c>
      <c r="C49">
        <f>O49*(Inputs!$B$14+(Scenarios!$C$3-Inputs!$B$14)*MIN(2,5)/5)/(1+Scenarios!$C$4)^2</f>
        <v/>
      </c>
      <c r="D49">
        <f>P49*(Inputs!$B$14+(Scenarios!$C$3-Inputs!$B$14)*MIN(3,5)/5)/(1+Scenarios!$C$4)^3</f>
        <v/>
      </c>
      <c r="E49">
        <f>Q49*(Inputs!$B$14+(Scenarios!$C$3-Inputs!$B$14)*MIN(4,5)/5)/(1+Scenarios!$C$4)^4</f>
        <v/>
      </c>
      <c r="F49">
        <f>R49*(Inputs!$B$14+(Scenarios!$C$3-Inputs!$B$14)*MIN(5,5)/5)/(1+Scenarios!$C$4)^5</f>
        <v/>
      </c>
      <c r="G49">
        <f>S49*(Inputs!$B$14+(Scenarios!$C$3-Inputs!$B$14)*MIN(6,5)/5)/(1+Scenarios!$C$4)^6</f>
        <v/>
      </c>
      <c r="H49">
        <f>T49*(Inputs!$B$14+(Scenarios!$C$3-Inputs!$B$14)*MIN(7,5)/5)/(1+Scenarios!$C$4)^7</f>
        <v/>
      </c>
      <c r="I49">
        <f>U49*(Inputs!$B$14+(Scenarios!$C$3-Inputs!$B$14)*MIN(8,5)/5)/(1+Scenarios!$C$4)^8</f>
        <v/>
      </c>
      <c r="J49">
        <f>V49*(Inputs!$B$14+(Scenarios!$C$3-Inputs!$B$14)*MIN(9,5)/5)/(1+Scenarios!$C$4)^9</f>
        <v/>
      </c>
      <c r="K49">
        <f>W49*(Inputs!$B$14+(Scenarios!$C$3-Inputs!$B$14)*MIN(10,5)/5)/(1+Scenarios!$C$4)^10</f>
        <v/>
      </c>
      <c r="L49">
        <f>W49*(Inputs!$B$14+(Scenarios!$C$3-Inputs!$B$14))*(1+Scenarios!$C$5)/(Scenarios!$C$4-Scenarios!$C$5)/(1+Scenarios!$C$4)^10</f>
        <v/>
      </c>
      <c r="M49">
        <f>(SUM(B49:L49)+Inputs!$B$17)*Inputs!$B$8/Inputs!$B$3*Inputs!$B$2</f>
        <v/>
      </c>
      <c r="N49">
        <f>Inputs!$B$6*(1+($A49-($A49-Scenarios!$C$5)*(1-1)/9))</f>
        <v/>
      </c>
      <c r="O49">
        <f>N49*(1+($A49-($A49-Scenarios!$C$5)*(2-1)/9))</f>
        <v/>
      </c>
      <c r="P49">
        <f>O49*(1+($A49-($A49-Scenarios!$C$5)*(3-1)/9))</f>
        <v/>
      </c>
      <c r="Q49">
        <f>P49*(1+($A49-($A49-Scenarios!$C$5)*(4-1)/9))</f>
        <v/>
      </c>
      <c r="R49">
        <f>Q49*(1+($A49-($A49-Scenarios!$C$5)*(5-1)/9))</f>
        <v/>
      </c>
      <c r="S49">
        <f>R49*(1+($A49-($A49-Scenarios!$C$5)*(6-1)/9))</f>
        <v/>
      </c>
      <c r="T49">
        <f>S49*(1+($A49-($A49-Scenarios!$C$5)*(7-1)/9))</f>
        <v/>
      </c>
      <c r="U49">
        <f>T49*(1+($A49-($A49-Scenarios!$C$5)*(8-1)/9))</f>
        <v/>
      </c>
      <c r="V49">
        <f>U49*(1+($A49-($A49-Scenarios!$C$5)*(9-1)/9))</f>
        <v/>
      </c>
      <c r="W49">
        <f>V49*(1+($A49-($A49-Scenarios!$C$5)*(10-1)/9))</f>
        <v/>
      </c>
    </row>
    <row r="50">
      <c r="A50" t="n">
        <v>0.85</v>
      </c>
      <c r="B50">
        <f>N50*(Inputs!$B$14+(Scenarios!$C$3-Inputs!$B$14)*MIN(1,5)/5)/(1+Scenarios!$C$4)^1</f>
        <v/>
      </c>
      <c r="C50">
        <f>O50*(Inputs!$B$14+(Scenarios!$C$3-Inputs!$B$14)*MIN(2,5)/5)/(1+Scenarios!$C$4)^2</f>
        <v/>
      </c>
      <c r="D50">
        <f>P50*(Inputs!$B$14+(Scenarios!$C$3-Inputs!$B$14)*MIN(3,5)/5)/(1+Scenarios!$C$4)^3</f>
        <v/>
      </c>
      <c r="E50">
        <f>Q50*(Inputs!$B$14+(Scenarios!$C$3-Inputs!$B$14)*MIN(4,5)/5)/(1+Scenarios!$C$4)^4</f>
        <v/>
      </c>
      <c r="F50">
        <f>R50*(Inputs!$B$14+(Scenarios!$C$3-Inputs!$B$14)*MIN(5,5)/5)/(1+Scenarios!$C$4)^5</f>
        <v/>
      </c>
      <c r="G50">
        <f>S50*(Inputs!$B$14+(Scenarios!$C$3-Inputs!$B$14)*MIN(6,5)/5)/(1+Scenarios!$C$4)^6</f>
        <v/>
      </c>
      <c r="H50">
        <f>T50*(Inputs!$B$14+(Scenarios!$C$3-Inputs!$B$14)*MIN(7,5)/5)/(1+Scenarios!$C$4)^7</f>
        <v/>
      </c>
      <c r="I50">
        <f>U50*(Inputs!$B$14+(Scenarios!$C$3-Inputs!$B$14)*MIN(8,5)/5)/(1+Scenarios!$C$4)^8</f>
        <v/>
      </c>
      <c r="J50">
        <f>V50*(Inputs!$B$14+(Scenarios!$C$3-Inputs!$B$14)*MIN(9,5)/5)/(1+Scenarios!$C$4)^9</f>
        <v/>
      </c>
      <c r="K50">
        <f>W50*(Inputs!$B$14+(Scenarios!$C$3-Inputs!$B$14)*MIN(10,5)/5)/(1+Scenarios!$C$4)^10</f>
        <v/>
      </c>
      <c r="L50">
        <f>W50*(Inputs!$B$14+(Scenarios!$C$3-Inputs!$B$14))*(1+Scenarios!$C$5)/(Scenarios!$C$4-Scenarios!$C$5)/(1+Scenarios!$C$4)^10</f>
        <v/>
      </c>
      <c r="M50">
        <f>(SUM(B50:L50)+Inputs!$B$17)*Inputs!$B$8/Inputs!$B$3*Inputs!$B$2</f>
        <v/>
      </c>
      <c r="N50">
        <f>Inputs!$B$6*(1+($A50-($A50-Scenarios!$C$5)*(1-1)/9))</f>
        <v/>
      </c>
      <c r="O50">
        <f>N50*(1+($A50-($A50-Scenarios!$C$5)*(2-1)/9))</f>
        <v/>
      </c>
      <c r="P50">
        <f>O50*(1+($A50-($A50-Scenarios!$C$5)*(3-1)/9))</f>
        <v/>
      </c>
      <c r="Q50">
        <f>P50*(1+($A50-($A50-Scenarios!$C$5)*(4-1)/9))</f>
        <v/>
      </c>
      <c r="R50">
        <f>Q50*(1+($A50-($A50-Scenarios!$C$5)*(5-1)/9))</f>
        <v/>
      </c>
      <c r="S50">
        <f>R50*(1+($A50-($A50-Scenarios!$C$5)*(6-1)/9))</f>
        <v/>
      </c>
      <c r="T50">
        <f>S50*(1+($A50-($A50-Scenarios!$C$5)*(7-1)/9))</f>
        <v/>
      </c>
      <c r="U50">
        <f>T50*(1+($A50-($A50-Scenarios!$C$5)*(8-1)/9))</f>
        <v/>
      </c>
      <c r="V50">
        <f>U50*(1+($A50-($A50-Scenarios!$C$5)*(9-1)/9))</f>
        <v/>
      </c>
      <c r="W50">
        <f>V50*(1+($A50-($A50-Scenarios!$C$5)*(10-1)/9))</f>
        <v/>
      </c>
    </row>
    <row r="51">
      <c r="A51" t="n">
        <v>0.875</v>
      </c>
      <c r="B51">
        <f>N51*(Inputs!$B$14+(Scenarios!$C$3-Inputs!$B$14)*MIN(1,5)/5)/(1+Scenarios!$C$4)^1</f>
        <v/>
      </c>
      <c r="C51">
        <f>O51*(Inputs!$B$14+(Scenarios!$C$3-Inputs!$B$14)*MIN(2,5)/5)/(1+Scenarios!$C$4)^2</f>
        <v/>
      </c>
      <c r="D51">
        <f>P51*(Inputs!$B$14+(Scenarios!$C$3-Inputs!$B$14)*MIN(3,5)/5)/(1+Scenarios!$C$4)^3</f>
        <v/>
      </c>
      <c r="E51">
        <f>Q51*(Inputs!$B$14+(Scenarios!$C$3-Inputs!$B$14)*MIN(4,5)/5)/(1+Scenarios!$C$4)^4</f>
        <v/>
      </c>
      <c r="F51">
        <f>R51*(Inputs!$B$14+(Scenarios!$C$3-Inputs!$B$14)*MIN(5,5)/5)/(1+Scenarios!$C$4)^5</f>
        <v/>
      </c>
      <c r="G51">
        <f>S51*(Inputs!$B$14+(Scenarios!$C$3-Inputs!$B$14)*MIN(6,5)/5)/(1+Scenarios!$C$4)^6</f>
        <v/>
      </c>
      <c r="H51">
        <f>T51*(Inputs!$B$14+(Scenarios!$C$3-Inputs!$B$14)*MIN(7,5)/5)/(1+Scenarios!$C$4)^7</f>
        <v/>
      </c>
      <c r="I51">
        <f>U51*(Inputs!$B$14+(Scenarios!$C$3-Inputs!$B$14)*MIN(8,5)/5)/(1+Scenarios!$C$4)^8</f>
        <v/>
      </c>
      <c r="J51">
        <f>V51*(Inputs!$B$14+(Scenarios!$C$3-Inputs!$B$14)*MIN(9,5)/5)/(1+Scenarios!$C$4)^9</f>
        <v/>
      </c>
      <c r="K51">
        <f>W51*(Inputs!$B$14+(Scenarios!$C$3-Inputs!$B$14)*MIN(10,5)/5)/(1+Scenarios!$C$4)^10</f>
        <v/>
      </c>
      <c r="L51">
        <f>W51*(Inputs!$B$14+(Scenarios!$C$3-Inputs!$B$14))*(1+Scenarios!$C$5)/(Scenarios!$C$4-Scenarios!$C$5)/(1+Scenarios!$C$4)^10</f>
        <v/>
      </c>
      <c r="M51">
        <f>(SUM(B51:L51)+Inputs!$B$17)*Inputs!$B$8/Inputs!$B$3*Inputs!$B$2</f>
        <v/>
      </c>
      <c r="N51">
        <f>Inputs!$B$6*(1+($A51-($A51-Scenarios!$C$5)*(1-1)/9))</f>
        <v/>
      </c>
      <c r="O51">
        <f>N51*(1+($A51-($A51-Scenarios!$C$5)*(2-1)/9))</f>
        <v/>
      </c>
      <c r="P51">
        <f>O51*(1+($A51-($A51-Scenarios!$C$5)*(3-1)/9))</f>
        <v/>
      </c>
      <c r="Q51">
        <f>P51*(1+($A51-($A51-Scenarios!$C$5)*(4-1)/9))</f>
        <v/>
      </c>
      <c r="R51">
        <f>Q51*(1+($A51-($A51-Scenarios!$C$5)*(5-1)/9))</f>
        <v/>
      </c>
      <c r="S51">
        <f>R51*(1+($A51-($A51-Scenarios!$C$5)*(6-1)/9))</f>
        <v/>
      </c>
      <c r="T51">
        <f>S51*(1+($A51-($A51-Scenarios!$C$5)*(7-1)/9))</f>
        <v/>
      </c>
      <c r="U51">
        <f>T51*(1+($A51-($A51-Scenarios!$C$5)*(8-1)/9))</f>
        <v/>
      </c>
      <c r="V51">
        <f>U51*(1+($A51-($A51-Scenarios!$C$5)*(9-1)/9))</f>
        <v/>
      </c>
      <c r="W51">
        <f>V51*(1+($A51-($A51-Scenarios!$C$5)*(10-1)/9))</f>
        <v/>
      </c>
    </row>
    <row r="52">
      <c r="A52" t="n">
        <v>0.9</v>
      </c>
      <c r="B52">
        <f>N52*(Inputs!$B$14+(Scenarios!$C$3-Inputs!$B$14)*MIN(1,5)/5)/(1+Scenarios!$C$4)^1</f>
        <v/>
      </c>
      <c r="C52">
        <f>O52*(Inputs!$B$14+(Scenarios!$C$3-Inputs!$B$14)*MIN(2,5)/5)/(1+Scenarios!$C$4)^2</f>
        <v/>
      </c>
      <c r="D52">
        <f>P52*(Inputs!$B$14+(Scenarios!$C$3-Inputs!$B$14)*MIN(3,5)/5)/(1+Scenarios!$C$4)^3</f>
        <v/>
      </c>
      <c r="E52">
        <f>Q52*(Inputs!$B$14+(Scenarios!$C$3-Inputs!$B$14)*MIN(4,5)/5)/(1+Scenarios!$C$4)^4</f>
        <v/>
      </c>
      <c r="F52">
        <f>R52*(Inputs!$B$14+(Scenarios!$C$3-Inputs!$B$14)*MIN(5,5)/5)/(1+Scenarios!$C$4)^5</f>
        <v/>
      </c>
      <c r="G52">
        <f>S52*(Inputs!$B$14+(Scenarios!$C$3-Inputs!$B$14)*MIN(6,5)/5)/(1+Scenarios!$C$4)^6</f>
        <v/>
      </c>
      <c r="H52">
        <f>T52*(Inputs!$B$14+(Scenarios!$C$3-Inputs!$B$14)*MIN(7,5)/5)/(1+Scenarios!$C$4)^7</f>
        <v/>
      </c>
      <c r="I52">
        <f>U52*(Inputs!$B$14+(Scenarios!$C$3-Inputs!$B$14)*MIN(8,5)/5)/(1+Scenarios!$C$4)^8</f>
        <v/>
      </c>
      <c r="J52">
        <f>V52*(Inputs!$B$14+(Scenarios!$C$3-Inputs!$B$14)*MIN(9,5)/5)/(1+Scenarios!$C$4)^9</f>
        <v/>
      </c>
      <c r="K52">
        <f>W52*(Inputs!$B$14+(Scenarios!$C$3-Inputs!$B$14)*MIN(10,5)/5)/(1+Scenarios!$C$4)^10</f>
        <v/>
      </c>
      <c r="L52">
        <f>W52*(Inputs!$B$14+(Scenarios!$C$3-Inputs!$B$14))*(1+Scenarios!$C$5)/(Scenarios!$C$4-Scenarios!$C$5)/(1+Scenarios!$C$4)^10</f>
        <v/>
      </c>
      <c r="M52">
        <f>(SUM(B52:L52)+Inputs!$B$17)*Inputs!$B$8/Inputs!$B$3*Inputs!$B$2</f>
        <v/>
      </c>
      <c r="N52">
        <f>Inputs!$B$6*(1+($A52-($A52-Scenarios!$C$5)*(1-1)/9))</f>
        <v/>
      </c>
      <c r="O52">
        <f>N52*(1+($A52-($A52-Scenarios!$C$5)*(2-1)/9))</f>
        <v/>
      </c>
      <c r="P52">
        <f>O52*(1+($A52-($A52-Scenarios!$C$5)*(3-1)/9))</f>
        <v/>
      </c>
      <c r="Q52">
        <f>P52*(1+($A52-($A52-Scenarios!$C$5)*(4-1)/9))</f>
        <v/>
      </c>
      <c r="R52">
        <f>Q52*(1+($A52-($A52-Scenarios!$C$5)*(5-1)/9))</f>
        <v/>
      </c>
      <c r="S52">
        <f>R52*(1+($A52-($A52-Scenarios!$C$5)*(6-1)/9))</f>
        <v/>
      </c>
      <c r="T52">
        <f>S52*(1+($A52-($A52-Scenarios!$C$5)*(7-1)/9))</f>
        <v/>
      </c>
      <c r="U52">
        <f>T52*(1+($A52-($A52-Scenarios!$C$5)*(8-1)/9))</f>
        <v/>
      </c>
      <c r="V52">
        <f>U52*(1+($A52-($A52-Scenarios!$C$5)*(9-1)/9))</f>
        <v/>
      </c>
      <c r="W52">
        <f>V52*(1+($A52-($A52-Scenarios!$C$5)*(10-1)/9))</f>
        <v/>
      </c>
    </row>
    <row r="53">
      <c r="A53" t="n">
        <v>0.925</v>
      </c>
      <c r="B53">
        <f>N53*(Inputs!$B$14+(Scenarios!$C$3-Inputs!$B$14)*MIN(1,5)/5)/(1+Scenarios!$C$4)^1</f>
        <v/>
      </c>
      <c r="C53">
        <f>O53*(Inputs!$B$14+(Scenarios!$C$3-Inputs!$B$14)*MIN(2,5)/5)/(1+Scenarios!$C$4)^2</f>
        <v/>
      </c>
      <c r="D53">
        <f>P53*(Inputs!$B$14+(Scenarios!$C$3-Inputs!$B$14)*MIN(3,5)/5)/(1+Scenarios!$C$4)^3</f>
        <v/>
      </c>
      <c r="E53">
        <f>Q53*(Inputs!$B$14+(Scenarios!$C$3-Inputs!$B$14)*MIN(4,5)/5)/(1+Scenarios!$C$4)^4</f>
        <v/>
      </c>
      <c r="F53">
        <f>R53*(Inputs!$B$14+(Scenarios!$C$3-Inputs!$B$14)*MIN(5,5)/5)/(1+Scenarios!$C$4)^5</f>
        <v/>
      </c>
      <c r="G53">
        <f>S53*(Inputs!$B$14+(Scenarios!$C$3-Inputs!$B$14)*MIN(6,5)/5)/(1+Scenarios!$C$4)^6</f>
        <v/>
      </c>
      <c r="H53">
        <f>T53*(Inputs!$B$14+(Scenarios!$C$3-Inputs!$B$14)*MIN(7,5)/5)/(1+Scenarios!$C$4)^7</f>
        <v/>
      </c>
      <c r="I53">
        <f>U53*(Inputs!$B$14+(Scenarios!$C$3-Inputs!$B$14)*MIN(8,5)/5)/(1+Scenarios!$C$4)^8</f>
        <v/>
      </c>
      <c r="J53">
        <f>V53*(Inputs!$B$14+(Scenarios!$C$3-Inputs!$B$14)*MIN(9,5)/5)/(1+Scenarios!$C$4)^9</f>
        <v/>
      </c>
      <c r="K53">
        <f>W53*(Inputs!$B$14+(Scenarios!$C$3-Inputs!$B$14)*MIN(10,5)/5)/(1+Scenarios!$C$4)^10</f>
        <v/>
      </c>
      <c r="L53">
        <f>W53*(Inputs!$B$14+(Scenarios!$C$3-Inputs!$B$14))*(1+Scenarios!$C$5)/(Scenarios!$C$4-Scenarios!$C$5)/(1+Scenarios!$C$4)^10</f>
        <v/>
      </c>
      <c r="M53">
        <f>(SUM(B53:L53)+Inputs!$B$17)*Inputs!$B$8/Inputs!$B$3*Inputs!$B$2</f>
        <v/>
      </c>
      <c r="N53">
        <f>Inputs!$B$6*(1+($A53-($A53-Scenarios!$C$5)*(1-1)/9))</f>
        <v/>
      </c>
      <c r="O53">
        <f>N53*(1+($A53-($A53-Scenarios!$C$5)*(2-1)/9))</f>
        <v/>
      </c>
      <c r="P53">
        <f>O53*(1+($A53-($A53-Scenarios!$C$5)*(3-1)/9))</f>
        <v/>
      </c>
      <c r="Q53">
        <f>P53*(1+($A53-($A53-Scenarios!$C$5)*(4-1)/9))</f>
        <v/>
      </c>
      <c r="R53">
        <f>Q53*(1+($A53-($A53-Scenarios!$C$5)*(5-1)/9))</f>
        <v/>
      </c>
      <c r="S53">
        <f>R53*(1+($A53-($A53-Scenarios!$C$5)*(6-1)/9))</f>
        <v/>
      </c>
      <c r="T53">
        <f>S53*(1+($A53-($A53-Scenarios!$C$5)*(7-1)/9))</f>
        <v/>
      </c>
      <c r="U53">
        <f>T53*(1+($A53-($A53-Scenarios!$C$5)*(8-1)/9))</f>
        <v/>
      </c>
      <c r="V53">
        <f>U53*(1+($A53-($A53-Scenarios!$C$5)*(9-1)/9))</f>
        <v/>
      </c>
      <c r="W53">
        <f>V53*(1+($A53-($A53-Scenarios!$C$5)*(10-1)/9))</f>
        <v/>
      </c>
    </row>
    <row r="54">
      <c r="A54" t="n">
        <v>0.95</v>
      </c>
      <c r="B54">
        <f>N54*(Inputs!$B$14+(Scenarios!$C$3-Inputs!$B$14)*MIN(1,5)/5)/(1+Scenarios!$C$4)^1</f>
        <v/>
      </c>
      <c r="C54">
        <f>O54*(Inputs!$B$14+(Scenarios!$C$3-Inputs!$B$14)*MIN(2,5)/5)/(1+Scenarios!$C$4)^2</f>
        <v/>
      </c>
      <c r="D54">
        <f>P54*(Inputs!$B$14+(Scenarios!$C$3-Inputs!$B$14)*MIN(3,5)/5)/(1+Scenarios!$C$4)^3</f>
        <v/>
      </c>
      <c r="E54">
        <f>Q54*(Inputs!$B$14+(Scenarios!$C$3-Inputs!$B$14)*MIN(4,5)/5)/(1+Scenarios!$C$4)^4</f>
        <v/>
      </c>
      <c r="F54">
        <f>R54*(Inputs!$B$14+(Scenarios!$C$3-Inputs!$B$14)*MIN(5,5)/5)/(1+Scenarios!$C$4)^5</f>
        <v/>
      </c>
      <c r="G54">
        <f>S54*(Inputs!$B$14+(Scenarios!$C$3-Inputs!$B$14)*MIN(6,5)/5)/(1+Scenarios!$C$4)^6</f>
        <v/>
      </c>
      <c r="H54">
        <f>T54*(Inputs!$B$14+(Scenarios!$C$3-Inputs!$B$14)*MIN(7,5)/5)/(1+Scenarios!$C$4)^7</f>
        <v/>
      </c>
      <c r="I54">
        <f>U54*(Inputs!$B$14+(Scenarios!$C$3-Inputs!$B$14)*MIN(8,5)/5)/(1+Scenarios!$C$4)^8</f>
        <v/>
      </c>
      <c r="J54">
        <f>V54*(Inputs!$B$14+(Scenarios!$C$3-Inputs!$B$14)*MIN(9,5)/5)/(1+Scenarios!$C$4)^9</f>
        <v/>
      </c>
      <c r="K54">
        <f>W54*(Inputs!$B$14+(Scenarios!$C$3-Inputs!$B$14)*MIN(10,5)/5)/(1+Scenarios!$C$4)^10</f>
        <v/>
      </c>
      <c r="L54">
        <f>W54*(Inputs!$B$14+(Scenarios!$C$3-Inputs!$B$14))*(1+Scenarios!$C$5)/(Scenarios!$C$4-Scenarios!$C$5)/(1+Scenarios!$C$4)^10</f>
        <v/>
      </c>
      <c r="M54">
        <f>(SUM(B54:L54)+Inputs!$B$17)*Inputs!$B$8/Inputs!$B$3*Inputs!$B$2</f>
        <v/>
      </c>
      <c r="N54">
        <f>Inputs!$B$6*(1+($A54-($A54-Scenarios!$C$5)*(1-1)/9))</f>
        <v/>
      </c>
      <c r="O54">
        <f>N54*(1+($A54-($A54-Scenarios!$C$5)*(2-1)/9))</f>
        <v/>
      </c>
      <c r="P54">
        <f>O54*(1+($A54-($A54-Scenarios!$C$5)*(3-1)/9))</f>
        <v/>
      </c>
      <c r="Q54">
        <f>P54*(1+($A54-($A54-Scenarios!$C$5)*(4-1)/9))</f>
        <v/>
      </c>
      <c r="R54">
        <f>Q54*(1+($A54-($A54-Scenarios!$C$5)*(5-1)/9))</f>
        <v/>
      </c>
      <c r="S54">
        <f>R54*(1+($A54-($A54-Scenarios!$C$5)*(6-1)/9))</f>
        <v/>
      </c>
      <c r="T54">
        <f>S54*(1+($A54-($A54-Scenarios!$C$5)*(7-1)/9))</f>
        <v/>
      </c>
      <c r="U54">
        <f>T54*(1+($A54-($A54-Scenarios!$C$5)*(8-1)/9))</f>
        <v/>
      </c>
      <c r="V54">
        <f>U54*(1+($A54-($A54-Scenarios!$C$5)*(9-1)/9))</f>
        <v/>
      </c>
      <c r="W54">
        <f>V54*(1+($A54-($A54-Scenarios!$C$5)*(10-1)/9))</f>
        <v/>
      </c>
    </row>
    <row r="55">
      <c r="A55" t="n">
        <v>0.975</v>
      </c>
      <c r="B55">
        <f>N55*(Inputs!$B$14+(Scenarios!$C$3-Inputs!$B$14)*MIN(1,5)/5)/(1+Scenarios!$C$4)^1</f>
        <v/>
      </c>
      <c r="C55">
        <f>O55*(Inputs!$B$14+(Scenarios!$C$3-Inputs!$B$14)*MIN(2,5)/5)/(1+Scenarios!$C$4)^2</f>
        <v/>
      </c>
      <c r="D55">
        <f>P55*(Inputs!$B$14+(Scenarios!$C$3-Inputs!$B$14)*MIN(3,5)/5)/(1+Scenarios!$C$4)^3</f>
        <v/>
      </c>
      <c r="E55">
        <f>Q55*(Inputs!$B$14+(Scenarios!$C$3-Inputs!$B$14)*MIN(4,5)/5)/(1+Scenarios!$C$4)^4</f>
        <v/>
      </c>
      <c r="F55">
        <f>R55*(Inputs!$B$14+(Scenarios!$C$3-Inputs!$B$14)*MIN(5,5)/5)/(1+Scenarios!$C$4)^5</f>
        <v/>
      </c>
      <c r="G55">
        <f>S55*(Inputs!$B$14+(Scenarios!$C$3-Inputs!$B$14)*MIN(6,5)/5)/(1+Scenarios!$C$4)^6</f>
        <v/>
      </c>
      <c r="H55">
        <f>T55*(Inputs!$B$14+(Scenarios!$C$3-Inputs!$B$14)*MIN(7,5)/5)/(1+Scenarios!$C$4)^7</f>
        <v/>
      </c>
      <c r="I55">
        <f>U55*(Inputs!$B$14+(Scenarios!$C$3-Inputs!$B$14)*MIN(8,5)/5)/(1+Scenarios!$C$4)^8</f>
        <v/>
      </c>
      <c r="J55">
        <f>V55*(Inputs!$B$14+(Scenarios!$C$3-Inputs!$B$14)*MIN(9,5)/5)/(1+Scenarios!$C$4)^9</f>
        <v/>
      </c>
      <c r="K55">
        <f>W55*(Inputs!$B$14+(Scenarios!$C$3-Inputs!$B$14)*MIN(10,5)/5)/(1+Scenarios!$C$4)^10</f>
        <v/>
      </c>
      <c r="L55">
        <f>W55*(Inputs!$B$14+(Scenarios!$C$3-Inputs!$B$14))*(1+Scenarios!$C$5)/(Scenarios!$C$4-Scenarios!$C$5)/(1+Scenarios!$C$4)^10</f>
        <v/>
      </c>
      <c r="M55">
        <f>(SUM(B55:L55)+Inputs!$B$17)*Inputs!$B$8/Inputs!$B$3*Inputs!$B$2</f>
        <v/>
      </c>
      <c r="N55">
        <f>Inputs!$B$6*(1+($A55-($A55-Scenarios!$C$5)*(1-1)/9))</f>
        <v/>
      </c>
      <c r="O55">
        <f>N55*(1+($A55-($A55-Scenarios!$C$5)*(2-1)/9))</f>
        <v/>
      </c>
      <c r="P55">
        <f>O55*(1+($A55-($A55-Scenarios!$C$5)*(3-1)/9))</f>
        <v/>
      </c>
      <c r="Q55">
        <f>P55*(1+($A55-($A55-Scenarios!$C$5)*(4-1)/9))</f>
        <v/>
      </c>
      <c r="R55">
        <f>Q55*(1+($A55-($A55-Scenarios!$C$5)*(5-1)/9))</f>
        <v/>
      </c>
      <c r="S55">
        <f>R55*(1+($A55-($A55-Scenarios!$C$5)*(6-1)/9))</f>
        <v/>
      </c>
      <c r="T55">
        <f>S55*(1+($A55-($A55-Scenarios!$C$5)*(7-1)/9))</f>
        <v/>
      </c>
      <c r="U55">
        <f>T55*(1+($A55-($A55-Scenarios!$C$5)*(8-1)/9))</f>
        <v/>
      </c>
      <c r="V55">
        <f>U55*(1+($A55-($A55-Scenarios!$C$5)*(9-1)/9))</f>
        <v/>
      </c>
      <c r="W55">
        <f>V55*(1+($A55-($A55-Scenarios!$C$5)*(10-1)/9))</f>
        <v/>
      </c>
    </row>
    <row r="56">
      <c r="A56" t="n">
        <v>1</v>
      </c>
      <c r="B56">
        <f>N56*(Inputs!$B$14+(Scenarios!$C$3-Inputs!$B$14)*MIN(1,5)/5)/(1+Scenarios!$C$4)^1</f>
        <v/>
      </c>
      <c r="C56">
        <f>O56*(Inputs!$B$14+(Scenarios!$C$3-Inputs!$B$14)*MIN(2,5)/5)/(1+Scenarios!$C$4)^2</f>
        <v/>
      </c>
      <c r="D56">
        <f>P56*(Inputs!$B$14+(Scenarios!$C$3-Inputs!$B$14)*MIN(3,5)/5)/(1+Scenarios!$C$4)^3</f>
        <v/>
      </c>
      <c r="E56">
        <f>Q56*(Inputs!$B$14+(Scenarios!$C$3-Inputs!$B$14)*MIN(4,5)/5)/(1+Scenarios!$C$4)^4</f>
        <v/>
      </c>
      <c r="F56">
        <f>R56*(Inputs!$B$14+(Scenarios!$C$3-Inputs!$B$14)*MIN(5,5)/5)/(1+Scenarios!$C$4)^5</f>
        <v/>
      </c>
      <c r="G56">
        <f>S56*(Inputs!$B$14+(Scenarios!$C$3-Inputs!$B$14)*MIN(6,5)/5)/(1+Scenarios!$C$4)^6</f>
        <v/>
      </c>
      <c r="H56">
        <f>T56*(Inputs!$B$14+(Scenarios!$C$3-Inputs!$B$14)*MIN(7,5)/5)/(1+Scenarios!$C$4)^7</f>
        <v/>
      </c>
      <c r="I56">
        <f>U56*(Inputs!$B$14+(Scenarios!$C$3-Inputs!$B$14)*MIN(8,5)/5)/(1+Scenarios!$C$4)^8</f>
        <v/>
      </c>
      <c r="J56">
        <f>V56*(Inputs!$B$14+(Scenarios!$C$3-Inputs!$B$14)*MIN(9,5)/5)/(1+Scenarios!$C$4)^9</f>
        <v/>
      </c>
      <c r="K56">
        <f>W56*(Inputs!$B$14+(Scenarios!$C$3-Inputs!$B$14)*MIN(10,5)/5)/(1+Scenarios!$C$4)^10</f>
        <v/>
      </c>
      <c r="L56">
        <f>W56*(Inputs!$B$14+(Scenarios!$C$3-Inputs!$B$14))*(1+Scenarios!$C$5)/(Scenarios!$C$4-Scenarios!$C$5)/(1+Scenarios!$C$4)^10</f>
        <v/>
      </c>
      <c r="M56">
        <f>(SUM(B56:L56)+Inputs!$B$17)*Inputs!$B$8/Inputs!$B$3*Inputs!$B$2</f>
        <v/>
      </c>
      <c r="N56">
        <f>Inputs!$B$6*(1+($A56-($A56-Scenarios!$C$5)*(1-1)/9))</f>
        <v/>
      </c>
      <c r="O56">
        <f>N56*(1+($A56-($A56-Scenarios!$C$5)*(2-1)/9))</f>
        <v/>
      </c>
      <c r="P56">
        <f>O56*(1+($A56-($A56-Scenarios!$C$5)*(3-1)/9))</f>
        <v/>
      </c>
      <c r="Q56">
        <f>P56*(1+($A56-($A56-Scenarios!$C$5)*(4-1)/9))</f>
        <v/>
      </c>
      <c r="R56">
        <f>Q56*(1+($A56-($A56-Scenarios!$C$5)*(5-1)/9))</f>
        <v/>
      </c>
      <c r="S56">
        <f>R56*(1+($A56-($A56-Scenarios!$C$5)*(6-1)/9))</f>
        <v/>
      </c>
      <c r="T56">
        <f>S56*(1+($A56-($A56-Scenarios!$C$5)*(7-1)/9))</f>
        <v/>
      </c>
      <c r="U56">
        <f>T56*(1+($A56-($A56-Scenarios!$C$5)*(8-1)/9))</f>
        <v/>
      </c>
      <c r="V56">
        <f>U56*(1+($A56-($A56-Scenarios!$C$5)*(9-1)/9))</f>
        <v/>
      </c>
      <c r="W56">
        <f>V56*(1+($A56-($A56-Scenarios!$C$5)*(10-1)/9))</f>
        <v/>
      </c>
    </row>
    <row r="57">
      <c r="A57" t="n">
        <v>1.025</v>
      </c>
      <c r="B57">
        <f>N57*(Inputs!$B$14+(Scenarios!$C$3-Inputs!$B$14)*MIN(1,5)/5)/(1+Scenarios!$C$4)^1</f>
        <v/>
      </c>
      <c r="C57">
        <f>O57*(Inputs!$B$14+(Scenarios!$C$3-Inputs!$B$14)*MIN(2,5)/5)/(1+Scenarios!$C$4)^2</f>
        <v/>
      </c>
      <c r="D57">
        <f>P57*(Inputs!$B$14+(Scenarios!$C$3-Inputs!$B$14)*MIN(3,5)/5)/(1+Scenarios!$C$4)^3</f>
        <v/>
      </c>
      <c r="E57">
        <f>Q57*(Inputs!$B$14+(Scenarios!$C$3-Inputs!$B$14)*MIN(4,5)/5)/(1+Scenarios!$C$4)^4</f>
        <v/>
      </c>
      <c r="F57">
        <f>R57*(Inputs!$B$14+(Scenarios!$C$3-Inputs!$B$14)*MIN(5,5)/5)/(1+Scenarios!$C$4)^5</f>
        <v/>
      </c>
      <c r="G57">
        <f>S57*(Inputs!$B$14+(Scenarios!$C$3-Inputs!$B$14)*MIN(6,5)/5)/(1+Scenarios!$C$4)^6</f>
        <v/>
      </c>
      <c r="H57">
        <f>T57*(Inputs!$B$14+(Scenarios!$C$3-Inputs!$B$14)*MIN(7,5)/5)/(1+Scenarios!$C$4)^7</f>
        <v/>
      </c>
      <c r="I57">
        <f>U57*(Inputs!$B$14+(Scenarios!$C$3-Inputs!$B$14)*MIN(8,5)/5)/(1+Scenarios!$C$4)^8</f>
        <v/>
      </c>
      <c r="J57">
        <f>V57*(Inputs!$B$14+(Scenarios!$C$3-Inputs!$B$14)*MIN(9,5)/5)/(1+Scenarios!$C$4)^9</f>
        <v/>
      </c>
      <c r="K57">
        <f>W57*(Inputs!$B$14+(Scenarios!$C$3-Inputs!$B$14)*MIN(10,5)/5)/(1+Scenarios!$C$4)^10</f>
        <v/>
      </c>
      <c r="L57">
        <f>W57*(Inputs!$B$14+(Scenarios!$C$3-Inputs!$B$14))*(1+Scenarios!$C$5)/(Scenarios!$C$4-Scenarios!$C$5)/(1+Scenarios!$C$4)^10</f>
        <v/>
      </c>
      <c r="M57">
        <f>(SUM(B57:L57)+Inputs!$B$17)*Inputs!$B$8/Inputs!$B$3*Inputs!$B$2</f>
        <v/>
      </c>
      <c r="N57">
        <f>Inputs!$B$6*(1+($A57-($A57-Scenarios!$C$5)*(1-1)/9))</f>
        <v/>
      </c>
      <c r="O57">
        <f>N57*(1+($A57-($A57-Scenarios!$C$5)*(2-1)/9))</f>
        <v/>
      </c>
      <c r="P57">
        <f>O57*(1+($A57-($A57-Scenarios!$C$5)*(3-1)/9))</f>
        <v/>
      </c>
      <c r="Q57">
        <f>P57*(1+($A57-($A57-Scenarios!$C$5)*(4-1)/9))</f>
        <v/>
      </c>
      <c r="R57">
        <f>Q57*(1+($A57-($A57-Scenarios!$C$5)*(5-1)/9))</f>
        <v/>
      </c>
      <c r="S57">
        <f>R57*(1+($A57-($A57-Scenarios!$C$5)*(6-1)/9))</f>
        <v/>
      </c>
      <c r="T57">
        <f>S57*(1+($A57-($A57-Scenarios!$C$5)*(7-1)/9))</f>
        <v/>
      </c>
      <c r="U57">
        <f>T57*(1+($A57-($A57-Scenarios!$C$5)*(8-1)/9))</f>
        <v/>
      </c>
      <c r="V57">
        <f>U57*(1+($A57-($A57-Scenarios!$C$5)*(9-1)/9))</f>
        <v/>
      </c>
      <c r="W57">
        <f>V57*(1+($A57-($A57-Scenarios!$C$5)*(10-1)/9))</f>
        <v/>
      </c>
    </row>
    <row r="58">
      <c r="A58" t="n">
        <v>1.05</v>
      </c>
      <c r="B58">
        <f>N58*(Inputs!$B$14+(Scenarios!$C$3-Inputs!$B$14)*MIN(1,5)/5)/(1+Scenarios!$C$4)^1</f>
        <v/>
      </c>
      <c r="C58">
        <f>O58*(Inputs!$B$14+(Scenarios!$C$3-Inputs!$B$14)*MIN(2,5)/5)/(1+Scenarios!$C$4)^2</f>
        <v/>
      </c>
      <c r="D58">
        <f>P58*(Inputs!$B$14+(Scenarios!$C$3-Inputs!$B$14)*MIN(3,5)/5)/(1+Scenarios!$C$4)^3</f>
        <v/>
      </c>
      <c r="E58">
        <f>Q58*(Inputs!$B$14+(Scenarios!$C$3-Inputs!$B$14)*MIN(4,5)/5)/(1+Scenarios!$C$4)^4</f>
        <v/>
      </c>
      <c r="F58">
        <f>R58*(Inputs!$B$14+(Scenarios!$C$3-Inputs!$B$14)*MIN(5,5)/5)/(1+Scenarios!$C$4)^5</f>
        <v/>
      </c>
      <c r="G58">
        <f>S58*(Inputs!$B$14+(Scenarios!$C$3-Inputs!$B$14)*MIN(6,5)/5)/(1+Scenarios!$C$4)^6</f>
        <v/>
      </c>
      <c r="H58">
        <f>T58*(Inputs!$B$14+(Scenarios!$C$3-Inputs!$B$14)*MIN(7,5)/5)/(1+Scenarios!$C$4)^7</f>
        <v/>
      </c>
      <c r="I58">
        <f>U58*(Inputs!$B$14+(Scenarios!$C$3-Inputs!$B$14)*MIN(8,5)/5)/(1+Scenarios!$C$4)^8</f>
        <v/>
      </c>
      <c r="J58">
        <f>V58*(Inputs!$B$14+(Scenarios!$C$3-Inputs!$B$14)*MIN(9,5)/5)/(1+Scenarios!$C$4)^9</f>
        <v/>
      </c>
      <c r="K58">
        <f>W58*(Inputs!$B$14+(Scenarios!$C$3-Inputs!$B$14)*MIN(10,5)/5)/(1+Scenarios!$C$4)^10</f>
        <v/>
      </c>
      <c r="L58">
        <f>W58*(Inputs!$B$14+(Scenarios!$C$3-Inputs!$B$14))*(1+Scenarios!$C$5)/(Scenarios!$C$4-Scenarios!$C$5)/(1+Scenarios!$C$4)^10</f>
        <v/>
      </c>
      <c r="M58">
        <f>(SUM(B58:L58)+Inputs!$B$17)*Inputs!$B$8/Inputs!$B$3*Inputs!$B$2</f>
        <v/>
      </c>
      <c r="N58">
        <f>Inputs!$B$6*(1+($A58-($A58-Scenarios!$C$5)*(1-1)/9))</f>
        <v/>
      </c>
      <c r="O58">
        <f>N58*(1+($A58-($A58-Scenarios!$C$5)*(2-1)/9))</f>
        <v/>
      </c>
      <c r="P58">
        <f>O58*(1+($A58-($A58-Scenarios!$C$5)*(3-1)/9))</f>
        <v/>
      </c>
      <c r="Q58">
        <f>P58*(1+($A58-($A58-Scenarios!$C$5)*(4-1)/9))</f>
        <v/>
      </c>
      <c r="R58">
        <f>Q58*(1+($A58-($A58-Scenarios!$C$5)*(5-1)/9))</f>
        <v/>
      </c>
      <c r="S58">
        <f>R58*(1+($A58-($A58-Scenarios!$C$5)*(6-1)/9))</f>
        <v/>
      </c>
      <c r="T58">
        <f>S58*(1+($A58-($A58-Scenarios!$C$5)*(7-1)/9))</f>
        <v/>
      </c>
      <c r="U58">
        <f>T58*(1+($A58-($A58-Scenarios!$C$5)*(8-1)/9))</f>
        <v/>
      </c>
      <c r="V58">
        <f>U58*(1+($A58-($A58-Scenarios!$C$5)*(9-1)/9))</f>
        <v/>
      </c>
      <c r="W58">
        <f>V58*(1+($A58-($A58-Scenarios!$C$5)*(10-1)/9))</f>
        <v/>
      </c>
    </row>
    <row r="59">
      <c r="A59" t="n">
        <v>1.075</v>
      </c>
      <c r="B59">
        <f>N59*(Inputs!$B$14+(Scenarios!$C$3-Inputs!$B$14)*MIN(1,5)/5)/(1+Scenarios!$C$4)^1</f>
        <v/>
      </c>
      <c r="C59">
        <f>O59*(Inputs!$B$14+(Scenarios!$C$3-Inputs!$B$14)*MIN(2,5)/5)/(1+Scenarios!$C$4)^2</f>
        <v/>
      </c>
      <c r="D59">
        <f>P59*(Inputs!$B$14+(Scenarios!$C$3-Inputs!$B$14)*MIN(3,5)/5)/(1+Scenarios!$C$4)^3</f>
        <v/>
      </c>
      <c r="E59">
        <f>Q59*(Inputs!$B$14+(Scenarios!$C$3-Inputs!$B$14)*MIN(4,5)/5)/(1+Scenarios!$C$4)^4</f>
        <v/>
      </c>
      <c r="F59">
        <f>R59*(Inputs!$B$14+(Scenarios!$C$3-Inputs!$B$14)*MIN(5,5)/5)/(1+Scenarios!$C$4)^5</f>
        <v/>
      </c>
      <c r="G59">
        <f>S59*(Inputs!$B$14+(Scenarios!$C$3-Inputs!$B$14)*MIN(6,5)/5)/(1+Scenarios!$C$4)^6</f>
        <v/>
      </c>
      <c r="H59">
        <f>T59*(Inputs!$B$14+(Scenarios!$C$3-Inputs!$B$14)*MIN(7,5)/5)/(1+Scenarios!$C$4)^7</f>
        <v/>
      </c>
      <c r="I59">
        <f>U59*(Inputs!$B$14+(Scenarios!$C$3-Inputs!$B$14)*MIN(8,5)/5)/(1+Scenarios!$C$4)^8</f>
        <v/>
      </c>
      <c r="J59">
        <f>V59*(Inputs!$B$14+(Scenarios!$C$3-Inputs!$B$14)*MIN(9,5)/5)/(1+Scenarios!$C$4)^9</f>
        <v/>
      </c>
      <c r="K59">
        <f>W59*(Inputs!$B$14+(Scenarios!$C$3-Inputs!$B$14)*MIN(10,5)/5)/(1+Scenarios!$C$4)^10</f>
        <v/>
      </c>
      <c r="L59">
        <f>W59*(Inputs!$B$14+(Scenarios!$C$3-Inputs!$B$14))*(1+Scenarios!$C$5)/(Scenarios!$C$4-Scenarios!$C$5)/(1+Scenarios!$C$4)^10</f>
        <v/>
      </c>
      <c r="M59">
        <f>(SUM(B59:L59)+Inputs!$B$17)*Inputs!$B$8/Inputs!$B$3*Inputs!$B$2</f>
        <v/>
      </c>
      <c r="N59">
        <f>Inputs!$B$6*(1+($A59-($A59-Scenarios!$C$5)*(1-1)/9))</f>
        <v/>
      </c>
      <c r="O59">
        <f>N59*(1+($A59-($A59-Scenarios!$C$5)*(2-1)/9))</f>
        <v/>
      </c>
      <c r="P59">
        <f>O59*(1+($A59-($A59-Scenarios!$C$5)*(3-1)/9))</f>
        <v/>
      </c>
      <c r="Q59">
        <f>P59*(1+($A59-($A59-Scenarios!$C$5)*(4-1)/9))</f>
        <v/>
      </c>
      <c r="R59">
        <f>Q59*(1+($A59-($A59-Scenarios!$C$5)*(5-1)/9))</f>
        <v/>
      </c>
      <c r="S59">
        <f>R59*(1+($A59-($A59-Scenarios!$C$5)*(6-1)/9))</f>
        <v/>
      </c>
      <c r="T59">
        <f>S59*(1+($A59-($A59-Scenarios!$C$5)*(7-1)/9))</f>
        <v/>
      </c>
      <c r="U59">
        <f>T59*(1+($A59-($A59-Scenarios!$C$5)*(8-1)/9))</f>
        <v/>
      </c>
      <c r="V59">
        <f>U59*(1+($A59-($A59-Scenarios!$C$5)*(9-1)/9))</f>
        <v/>
      </c>
      <c r="W59">
        <f>V59*(1+($A59-($A59-Scenarios!$C$5)*(10-1)/9))</f>
        <v/>
      </c>
    </row>
    <row r="60">
      <c r="A60" t="n">
        <v>1.1</v>
      </c>
      <c r="B60">
        <f>N60*(Inputs!$B$14+(Scenarios!$C$3-Inputs!$B$14)*MIN(1,5)/5)/(1+Scenarios!$C$4)^1</f>
        <v/>
      </c>
      <c r="C60">
        <f>O60*(Inputs!$B$14+(Scenarios!$C$3-Inputs!$B$14)*MIN(2,5)/5)/(1+Scenarios!$C$4)^2</f>
        <v/>
      </c>
      <c r="D60">
        <f>P60*(Inputs!$B$14+(Scenarios!$C$3-Inputs!$B$14)*MIN(3,5)/5)/(1+Scenarios!$C$4)^3</f>
        <v/>
      </c>
      <c r="E60">
        <f>Q60*(Inputs!$B$14+(Scenarios!$C$3-Inputs!$B$14)*MIN(4,5)/5)/(1+Scenarios!$C$4)^4</f>
        <v/>
      </c>
      <c r="F60">
        <f>R60*(Inputs!$B$14+(Scenarios!$C$3-Inputs!$B$14)*MIN(5,5)/5)/(1+Scenarios!$C$4)^5</f>
        <v/>
      </c>
      <c r="G60">
        <f>S60*(Inputs!$B$14+(Scenarios!$C$3-Inputs!$B$14)*MIN(6,5)/5)/(1+Scenarios!$C$4)^6</f>
        <v/>
      </c>
      <c r="H60">
        <f>T60*(Inputs!$B$14+(Scenarios!$C$3-Inputs!$B$14)*MIN(7,5)/5)/(1+Scenarios!$C$4)^7</f>
        <v/>
      </c>
      <c r="I60">
        <f>U60*(Inputs!$B$14+(Scenarios!$C$3-Inputs!$B$14)*MIN(8,5)/5)/(1+Scenarios!$C$4)^8</f>
        <v/>
      </c>
      <c r="J60">
        <f>V60*(Inputs!$B$14+(Scenarios!$C$3-Inputs!$B$14)*MIN(9,5)/5)/(1+Scenarios!$C$4)^9</f>
        <v/>
      </c>
      <c r="K60">
        <f>W60*(Inputs!$B$14+(Scenarios!$C$3-Inputs!$B$14)*MIN(10,5)/5)/(1+Scenarios!$C$4)^10</f>
        <v/>
      </c>
      <c r="L60">
        <f>W60*(Inputs!$B$14+(Scenarios!$C$3-Inputs!$B$14))*(1+Scenarios!$C$5)/(Scenarios!$C$4-Scenarios!$C$5)/(1+Scenarios!$C$4)^10</f>
        <v/>
      </c>
      <c r="M60">
        <f>(SUM(B60:L60)+Inputs!$B$17)*Inputs!$B$8/Inputs!$B$3*Inputs!$B$2</f>
        <v/>
      </c>
      <c r="N60">
        <f>Inputs!$B$6*(1+($A60-($A60-Scenarios!$C$5)*(1-1)/9))</f>
        <v/>
      </c>
      <c r="O60">
        <f>N60*(1+($A60-($A60-Scenarios!$C$5)*(2-1)/9))</f>
        <v/>
      </c>
      <c r="P60">
        <f>O60*(1+($A60-($A60-Scenarios!$C$5)*(3-1)/9))</f>
        <v/>
      </c>
      <c r="Q60">
        <f>P60*(1+($A60-($A60-Scenarios!$C$5)*(4-1)/9))</f>
        <v/>
      </c>
      <c r="R60">
        <f>Q60*(1+($A60-($A60-Scenarios!$C$5)*(5-1)/9))</f>
        <v/>
      </c>
      <c r="S60">
        <f>R60*(1+($A60-($A60-Scenarios!$C$5)*(6-1)/9))</f>
        <v/>
      </c>
      <c r="T60">
        <f>S60*(1+($A60-($A60-Scenarios!$C$5)*(7-1)/9))</f>
        <v/>
      </c>
      <c r="U60">
        <f>T60*(1+($A60-($A60-Scenarios!$C$5)*(8-1)/9))</f>
        <v/>
      </c>
      <c r="V60">
        <f>U60*(1+($A60-($A60-Scenarios!$C$5)*(9-1)/9))</f>
        <v/>
      </c>
      <c r="W60">
        <f>V60*(1+($A60-($A60-Scenarios!$C$5)*(10-1)/9))</f>
        <v/>
      </c>
    </row>
    <row r="61">
      <c r="A61" t="n">
        <v>1.125</v>
      </c>
      <c r="B61">
        <f>N61*(Inputs!$B$14+(Scenarios!$C$3-Inputs!$B$14)*MIN(1,5)/5)/(1+Scenarios!$C$4)^1</f>
        <v/>
      </c>
      <c r="C61">
        <f>O61*(Inputs!$B$14+(Scenarios!$C$3-Inputs!$B$14)*MIN(2,5)/5)/(1+Scenarios!$C$4)^2</f>
        <v/>
      </c>
      <c r="D61">
        <f>P61*(Inputs!$B$14+(Scenarios!$C$3-Inputs!$B$14)*MIN(3,5)/5)/(1+Scenarios!$C$4)^3</f>
        <v/>
      </c>
      <c r="E61">
        <f>Q61*(Inputs!$B$14+(Scenarios!$C$3-Inputs!$B$14)*MIN(4,5)/5)/(1+Scenarios!$C$4)^4</f>
        <v/>
      </c>
      <c r="F61">
        <f>R61*(Inputs!$B$14+(Scenarios!$C$3-Inputs!$B$14)*MIN(5,5)/5)/(1+Scenarios!$C$4)^5</f>
        <v/>
      </c>
      <c r="G61">
        <f>S61*(Inputs!$B$14+(Scenarios!$C$3-Inputs!$B$14)*MIN(6,5)/5)/(1+Scenarios!$C$4)^6</f>
        <v/>
      </c>
      <c r="H61">
        <f>T61*(Inputs!$B$14+(Scenarios!$C$3-Inputs!$B$14)*MIN(7,5)/5)/(1+Scenarios!$C$4)^7</f>
        <v/>
      </c>
      <c r="I61">
        <f>U61*(Inputs!$B$14+(Scenarios!$C$3-Inputs!$B$14)*MIN(8,5)/5)/(1+Scenarios!$C$4)^8</f>
        <v/>
      </c>
      <c r="J61">
        <f>V61*(Inputs!$B$14+(Scenarios!$C$3-Inputs!$B$14)*MIN(9,5)/5)/(1+Scenarios!$C$4)^9</f>
        <v/>
      </c>
      <c r="K61">
        <f>W61*(Inputs!$B$14+(Scenarios!$C$3-Inputs!$B$14)*MIN(10,5)/5)/(1+Scenarios!$C$4)^10</f>
        <v/>
      </c>
      <c r="L61">
        <f>W61*(Inputs!$B$14+(Scenarios!$C$3-Inputs!$B$14))*(1+Scenarios!$C$5)/(Scenarios!$C$4-Scenarios!$C$5)/(1+Scenarios!$C$4)^10</f>
        <v/>
      </c>
      <c r="M61">
        <f>(SUM(B61:L61)+Inputs!$B$17)*Inputs!$B$8/Inputs!$B$3*Inputs!$B$2</f>
        <v/>
      </c>
      <c r="N61">
        <f>Inputs!$B$6*(1+($A61-($A61-Scenarios!$C$5)*(1-1)/9))</f>
        <v/>
      </c>
      <c r="O61">
        <f>N61*(1+($A61-($A61-Scenarios!$C$5)*(2-1)/9))</f>
        <v/>
      </c>
      <c r="P61">
        <f>O61*(1+($A61-($A61-Scenarios!$C$5)*(3-1)/9))</f>
        <v/>
      </c>
      <c r="Q61">
        <f>P61*(1+($A61-($A61-Scenarios!$C$5)*(4-1)/9))</f>
        <v/>
      </c>
      <c r="R61">
        <f>Q61*(1+($A61-($A61-Scenarios!$C$5)*(5-1)/9))</f>
        <v/>
      </c>
      <c r="S61">
        <f>R61*(1+($A61-($A61-Scenarios!$C$5)*(6-1)/9))</f>
        <v/>
      </c>
      <c r="T61">
        <f>S61*(1+($A61-($A61-Scenarios!$C$5)*(7-1)/9))</f>
        <v/>
      </c>
      <c r="U61">
        <f>T61*(1+($A61-($A61-Scenarios!$C$5)*(8-1)/9))</f>
        <v/>
      </c>
      <c r="V61">
        <f>U61*(1+($A61-($A61-Scenarios!$C$5)*(9-1)/9))</f>
        <v/>
      </c>
      <c r="W61">
        <f>V61*(1+($A61-($A61-Scenarios!$C$5)*(10-1)/9))</f>
        <v/>
      </c>
    </row>
    <row r="62">
      <c r="A62" t="n">
        <v>1.15</v>
      </c>
      <c r="B62">
        <f>N62*(Inputs!$B$14+(Scenarios!$C$3-Inputs!$B$14)*MIN(1,5)/5)/(1+Scenarios!$C$4)^1</f>
        <v/>
      </c>
      <c r="C62">
        <f>O62*(Inputs!$B$14+(Scenarios!$C$3-Inputs!$B$14)*MIN(2,5)/5)/(1+Scenarios!$C$4)^2</f>
        <v/>
      </c>
      <c r="D62">
        <f>P62*(Inputs!$B$14+(Scenarios!$C$3-Inputs!$B$14)*MIN(3,5)/5)/(1+Scenarios!$C$4)^3</f>
        <v/>
      </c>
      <c r="E62">
        <f>Q62*(Inputs!$B$14+(Scenarios!$C$3-Inputs!$B$14)*MIN(4,5)/5)/(1+Scenarios!$C$4)^4</f>
        <v/>
      </c>
      <c r="F62">
        <f>R62*(Inputs!$B$14+(Scenarios!$C$3-Inputs!$B$14)*MIN(5,5)/5)/(1+Scenarios!$C$4)^5</f>
        <v/>
      </c>
      <c r="G62">
        <f>S62*(Inputs!$B$14+(Scenarios!$C$3-Inputs!$B$14)*MIN(6,5)/5)/(1+Scenarios!$C$4)^6</f>
        <v/>
      </c>
      <c r="H62">
        <f>T62*(Inputs!$B$14+(Scenarios!$C$3-Inputs!$B$14)*MIN(7,5)/5)/(1+Scenarios!$C$4)^7</f>
        <v/>
      </c>
      <c r="I62">
        <f>U62*(Inputs!$B$14+(Scenarios!$C$3-Inputs!$B$14)*MIN(8,5)/5)/(1+Scenarios!$C$4)^8</f>
        <v/>
      </c>
      <c r="J62">
        <f>V62*(Inputs!$B$14+(Scenarios!$C$3-Inputs!$B$14)*MIN(9,5)/5)/(1+Scenarios!$C$4)^9</f>
        <v/>
      </c>
      <c r="K62">
        <f>W62*(Inputs!$B$14+(Scenarios!$C$3-Inputs!$B$14)*MIN(10,5)/5)/(1+Scenarios!$C$4)^10</f>
        <v/>
      </c>
      <c r="L62">
        <f>W62*(Inputs!$B$14+(Scenarios!$C$3-Inputs!$B$14))*(1+Scenarios!$C$5)/(Scenarios!$C$4-Scenarios!$C$5)/(1+Scenarios!$C$4)^10</f>
        <v/>
      </c>
      <c r="M62">
        <f>(SUM(B62:L62)+Inputs!$B$17)*Inputs!$B$8/Inputs!$B$3*Inputs!$B$2</f>
        <v/>
      </c>
      <c r="N62">
        <f>Inputs!$B$6*(1+($A62-($A62-Scenarios!$C$5)*(1-1)/9))</f>
        <v/>
      </c>
      <c r="O62">
        <f>N62*(1+($A62-($A62-Scenarios!$C$5)*(2-1)/9))</f>
        <v/>
      </c>
      <c r="P62">
        <f>O62*(1+($A62-($A62-Scenarios!$C$5)*(3-1)/9))</f>
        <v/>
      </c>
      <c r="Q62">
        <f>P62*(1+($A62-($A62-Scenarios!$C$5)*(4-1)/9))</f>
        <v/>
      </c>
      <c r="R62">
        <f>Q62*(1+($A62-($A62-Scenarios!$C$5)*(5-1)/9))</f>
        <v/>
      </c>
      <c r="S62">
        <f>R62*(1+($A62-($A62-Scenarios!$C$5)*(6-1)/9))</f>
        <v/>
      </c>
      <c r="T62">
        <f>S62*(1+($A62-($A62-Scenarios!$C$5)*(7-1)/9))</f>
        <v/>
      </c>
      <c r="U62">
        <f>T62*(1+($A62-($A62-Scenarios!$C$5)*(8-1)/9))</f>
        <v/>
      </c>
      <c r="V62">
        <f>U62*(1+($A62-($A62-Scenarios!$C$5)*(9-1)/9))</f>
        <v/>
      </c>
      <c r="W62">
        <f>V62*(1+($A62-($A62-Scenarios!$C$5)*(10-1)/9))</f>
        <v/>
      </c>
    </row>
    <row r="63">
      <c r="A63" t="n">
        <v>1.175</v>
      </c>
      <c r="B63">
        <f>N63*(Inputs!$B$14+(Scenarios!$C$3-Inputs!$B$14)*MIN(1,5)/5)/(1+Scenarios!$C$4)^1</f>
        <v/>
      </c>
      <c r="C63">
        <f>O63*(Inputs!$B$14+(Scenarios!$C$3-Inputs!$B$14)*MIN(2,5)/5)/(1+Scenarios!$C$4)^2</f>
        <v/>
      </c>
      <c r="D63">
        <f>P63*(Inputs!$B$14+(Scenarios!$C$3-Inputs!$B$14)*MIN(3,5)/5)/(1+Scenarios!$C$4)^3</f>
        <v/>
      </c>
      <c r="E63">
        <f>Q63*(Inputs!$B$14+(Scenarios!$C$3-Inputs!$B$14)*MIN(4,5)/5)/(1+Scenarios!$C$4)^4</f>
        <v/>
      </c>
      <c r="F63">
        <f>R63*(Inputs!$B$14+(Scenarios!$C$3-Inputs!$B$14)*MIN(5,5)/5)/(1+Scenarios!$C$4)^5</f>
        <v/>
      </c>
      <c r="G63">
        <f>S63*(Inputs!$B$14+(Scenarios!$C$3-Inputs!$B$14)*MIN(6,5)/5)/(1+Scenarios!$C$4)^6</f>
        <v/>
      </c>
      <c r="H63">
        <f>T63*(Inputs!$B$14+(Scenarios!$C$3-Inputs!$B$14)*MIN(7,5)/5)/(1+Scenarios!$C$4)^7</f>
        <v/>
      </c>
      <c r="I63">
        <f>U63*(Inputs!$B$14+(Scenarios!$C$3-Inputs!$B$14)*MIN(8,5)/5)/(1+Scenarios!$C$4)^8</f>
        <v/>
      </c>
      <c r="J63">
        <f>V63*(Inputs!$B$14+(Scenarios!$C$3-Inputs!$B$14)*MIN(9,5)/5)/(1+Scenarios!$C$4)^9</f>
        <v/>
      </c>
      <c r="K63">
        <f>W63*(Inputs!$B$14+(Scenarios!$C$3-Inputs!$B$14)*MIN(10,5)/5)/(1+Scenarios!$C$4)^10</f>
        <v/>
      </c>
      <c r="L63">
        <f>W63*(Inputs!$B$14+(Scenarios!$C$3-Inputs!$B$14))*(1+Scenarios!$C$5)/(Scenarios!$C$4-Scenarios!$C$5)/(1+Scenarios!$C$4)^10</f>
        <v/>
      </c>
      <c r="M63">
        <f>(SUM(B63:L63)+Inputs!$B$17)*Inputs!$B$8/Inputs!$B$3*Inputs!$B$2</f>
        <v/>
      </c>
      <c r="N63">
        <f>Inputs!$B$6*(1+($A63-($A63-Scenarios!$C$5)*(1-1)/9))</f>
        <v/>
      </c>
      <c r="O63">
        <f>N63*(1+($A63-($A63-Scenarios!$C$5)*(2-1)/9))</f>
        <v/>
      </c>
      <c r="P63">
        <f>O63*(1+($A63-($A63-Scenarios!$C$5)*(3-1)/9))</f>
        <v/>
      </c>
      <c r="Q63">
        <f>P63*(1+($A63-($A63-Scenarios!$C$5)*(4-1)/9))</f>
        <v/>
      </c>
      <c r="R63">
        <f>Q63*(1+($A63-($A63-Scenarios!$C$5)*(5-1)/9))</f>
        <v/>
      </c>
      <c r="S63">
        <f>R63*(1+($A63-($A63-Scenarios!$C$5)*(6-1)/9))</f>
        <v/>
      </c>
      <c r="T63">
        <f>S63*(1+($A63-($A63-Scenarios!$C$5)*(7-1)/9))</f>
        <v/>
      </c>
      <c r="U63">
        <f>T63*(1+($A63-($A63-Scenarios!$C$5)*(8-1)/9))</f>
        <v/>
      </c>
      <c r="V63">
        <f>U63*(1+($A63-($A63-Scenarios!$C$5)*(9-1)/9))</f>
        <v/>
      </c>
      <c r="W63">
        <f>V63*(1+($A63-($A63-Scenarios!$C$5)*(10-1)/9))</f>
        <v/>
      </c>
    </row>
    <row r="64">
      <c r="A64" t="n">
        <v>1.2</v>
      </c>
      <c r="B64">
        <f>N64*(Inputs!$B$14+(Scenarios!$C$3-Inputs!$B$14)*MIN(1,5)/5)/(1+Scenarios!$C$4)^1</f>
        <v/>
      </c>
      <c r="C64">
        <f>O64*(Inputs!$B$14+(Scenarios!$C$3-Inputs!$B$14)*MIN(2,5)/5)/(1+Scenarios!$C$4)^2</f>
        <v/>
      </c>
      <c r="D64">
        <f>P64*(Inputs!$B$14+(Scenarios!$C$3-Inputs!$B$14)*MIN(3,5)/5)/(1+Scenarios!$C$4)^3</f>
        <v/>
      </c>
      <c r="E64">
        <f>Q64*(Inputs!$B$14+(Scenarios!$C$3-Inputs!$B$14)*MIN(4,5)/5)/(1+Scenarios!$C$4)^4</f>
        <v/>
      </c>
      <c r="F64">
        <f>R64*(Inputs!$B$14+(Scenarios!$C$3-Inputs!$B$14)*MIN(5,5)/5)/(1+Scenarios!$C$4)^5</f>
        <v/>
      </c>
      <c r="G64">
        <f>S64*(Inputs!$B$14+(Scenarios!$C$3-Inputs!$B$14)*MIN(6,5)/5)/(1+Scenarios!$C$4)^6</f>
        <v/>
      </c>
      <c r="H64">
        <f>T64*(Inputs!$B$14+(Scenarios!$C$3-Inputs!$B$14)*MIN(7,5)/5)/(1+Scenarios!$C$4)^7</f>
        <v/>
      </c>
      <c r="I64">
        <f>U64*(Inputs!$B$14+(Scenarios!$C$3-Inputs!$B$14)*MIN(8,5)/5)/(1+Scenarios!$C$4)^8</f>
        <v/>
      </c>
      <c r="J64">
        <f>V64*(Inputs!$B$14+(Scenarios!$C$3-Inputs!$B$14)*MIN(9,5)/5)/(1+Scenarios!$C$4)^9</f>
        <v/>
      </c>
      <c r="K64">
        <f>W64*(Inputs!$B$14+(Scenarios!$C$3-Inputs!$B$14)*MIN(10,5)/5)/(1+Scenarios!$C$4)^10</f>
        <v/>
      </c>
      <c r="L64">
        <f>W64*(Inputs!$B$14+(Scenarios!$C$3-Inputs!$B$14))*(1+Scenarios!$C$5)/(Scenarios!$C$4-Scenarios!$C$5)/(1+Scenarios!$C$4)^10</f>
        <v/>
      </c>
      <c r="M64">
        <f>(SUM(B64:L64)+Inputs!$B$17)*Inputs!$B$8/Inputs!$B$3*Inputs!$B$2</f>
        <v/>
      </c>
      <c r="N64">
        <f>Inputs!$B$6*(1+($A64-($A64-Scenarios!$C$5)*(1-1)/9))</f>
        <v/>
      </c>
      <c r="O64">
        <f>N64*(1+($A64-($A64-Scenarios!$C$5)*(2-1)/9))</f>
        <v/>
      </c>
      <c r="P64">
        <f>O64*(1+($A64-($A64-Scenarios!$C$5)*(3-1)/9))</f>
        <v/>
      </c>
      <c r="Q64">
        <f>P64*(1+($A64-($A64-Scenarios!$C$5)*(4-1)/9))</f>
        <v/>
      </c>
      <c r="R64">
        <f>Q64*(1+($A64-($A64-Scenarios!$C$5)*(5-1)/9))</f>
        <v/>
      </c>
      <c r="S64">
        <f>R64*(1+($A64-($A64-Scenarios!$C$5)*(6-1)/9))</f>
        <v/>
      </c>
      <c r="T64">
        <f>S64*(1+($A64-($A64-Scenarios!$C$5)*(7-1)/9))</f>
        <v/>
      </c>
      <c r="U64">
        <f>T64*(1+($A64-($A64-Scenarios!$C$5)*(8-1)/9))</f>
        <v/>
      </c>
      <c r="V64">
        <f>U64*(1+($A64-($A64-Scenarios!$C$5)*(9-1)/9))</f>
        <v/>
      </c>
      <c r="W64">
        <f>V64*(1+($A64-($A64-Scenarios!$C$5)*(10-1)/9))</f>
        <v/>
      </c>
    </row>
    <row r="65">
      <c r="A65" t="n">
        <v>1.225</v>
      </c>
      <c r="B65">
        <f>N65*(Inputs!$B$14+(Scenarios!$C$3-Inputs!$B$14)*MIN(1,5)/5)/(1+Scenarios!$C$4)^1</f>
        <v/>
      </c>
      <c r="C65">
        <f>O65*(Inputs!$B$14+(Scenarios!$C$3-Inputs!$B$14)*MIN(2,5)/5)/(1+Scenarios!$C$4)^2</f>
        <v/>
      </c>
      <c r="D65">
        <f>P65*(Inputs!$B$14+(Scenarios!$C$3-Inputs!$B$14)*MIN(3,5)/5)/(1+Scenarios!$C$4)^3</f>
        <v/>
      </c>
      <c r="E65">
        <f>Q65*(Inputs!$B$14+(Scenarios!$C$3-Inputs!$B$14)*MIN(4,5)/5)/(1+Scenarios!$C$4)^4</f>
        <v/>
      </c>
      <c r="F65">
        <f>R65*(Inputs!$B$14+(Scenarios!$C$3-Inputs!$B$14)*MIN(5,5)/5)/(1+Scenarios!$C$4)^5</f>
        <v/>
      </c>
      <c r="G65">
        <f>S65*(Inputs!$B$14+(Scenarios!$C$3-Inputs!$B$14)*MIN(6,5)/5)/(1+Scenarios!$C$4)^6</f>
        <v/>
      </c>
      <c r="H65">
        <f>T65*(Inputs!$B$14+(Scenarios!$C$3-Inputs!$B$14)*MIN(7,5)/5)/(1+Scenarios!$C$4)^7</f>
        <v/>
      </c>
      <c r="I65">
        <f>U65*(Inputs!$B$14+(Scenarios!$C$3-Inputs!$B$14)*MIN(8,5)/5)/(1+Scenarios!$C$4)^8</f>
        <v/>
      </c>
      <c r="J65">
        <f>V65*(Inputs!$B$14+(Scenarios!$C$3-Inputs!$B$14)*MIN(9,5)/5)/(1+Scenarios!$C$4)^9</f>
        <v/>
      </c>
      <c r="K65">
        <f>W65*(Inputs!$B$14+(Scenarios!$C$3-Inputs!$B$14)*MIN(10,5)/5)/(1+Scenarios!$C$4)^10</f>
        <v/>
      </c>
      <c r="L65">
        <f>W65*(Inputs!$B$14+(Scenarios!$C$3-Inputs!$B$14))*(1+Scenarios!$C$5)/(Scenarios!$C$4-Scenarios!$C$5)/(1+Scenarios!$C$4)^10</f>
        <v/>
      </c>
      <c r="M65">
        <f>(SUM(B65:L65)+Inputs!$B$17)*Inputs!$B$8/Inputs!$B$3*Inputs!$B$2</f>
        <v/>
      </c>
      <c r="N65">
        <f>Inputs!$B$6*(1+($A65-($A65-Scenarios!$C$5)*(1-1)/9))</f>
        <v/>
      </c>
      <c r="O65">
        <f>N65*(1+($A65-($A65-Scenarios!$C$5)*(2-1)/9))</f>
        <v/>
      </c>
      <c r="P65">
        <f>O65*(1+($A65-($A65-Scenarios!$C$5)*(3-1)/9))</f>
        <v/>
      </c>
      <c r="Q65">
        <f>P65*(1+($A65-($A65-Scenarios!$C$5)*(4-1)/9))</f>
        <v/>
      </c>
      <c r="R65">
        <f>Q65*(1+($A65-($A65-Scenarios!$C$5)*(5-1)/9))</f>
        <v/>
      </c>
      <c r="S65">
        <f>R65*(1+($A65-($A65-Scenarios!$C$5)*(6-1)/9))</f>
        <v/>
      </c>
      <c r="T65">
        <f>S65*(1+($A65-($A65-Scenarios!$C$5)*(7-1)/9))</f>
        <v/>
      </c>
      <c r="U65">
        <f>T65*(1+($A65-($A65-Scenarios!$C$5)*(8-1)/9))</f>
        <v/>
      </c>
      <c r="V65">
        <f>U65*(1+($A65-($A65-Scenarios!$C$5)*(9-1)/9))</f>
        <v/>
      </c>
      <c r="W65">
        <f>V65*(1+($A65-($A65-Scenarios!$C$5)*(10-1)/9))</f>
        <v/>
      </c>
    </row>
    <row r="66">
      <c r="A66" t="n">
        <v>1.25</v>
      </c>
      <c r="B66">
        <f>N66*(Inputs!$B$14+(Scenarios!$C$3-Inputs!$B$14)*MIN(1,5)/5)/(1+Scenarios!$C$4)^1</f>
        <v/>
      </c>
      <c r="C66">
        <f>O66*(Inputs!$B$14+(Scenarios!$C$3-Inputs!$B$14)*MIN(2,5)/5)/(1+Scenarios!$C$4)^2</f>
        <v/>
      </c>
      <c r="D66">
        <f>P66*(Inputs!$B$14+(Scenarios!$C$3-Inputs!$B$14)*MIN(3,5)/5)/(1+Scenarios!$C$4)^3</f>
        <v/>
      </c>
      <c r="E66">
        <f>Q66*(Inputs!$B$14+(Scenarios!$C$3-Inputs!$B$14)*MIN(4,5)/5)/(1+Scenarios!$C$4)^4</f>
        <v/>
      </c>
      <c r="F66">
        <f>R66*(Inputs!$B$14+(Scenarios!$C$3-Inputs!$B$14)*MIN(5,5)/5)/(1+Scenarios!$C$4)^5</f>
        <v/>
      </c>
      <c r="G66">
        <f>S66*(Inputs!$B$14+(Scenarios!$C$3-Inputs!$B$14)*MIN(6,5)/5)/(1+Scenarios!$C$4)^6</f>
        <v/>
      </c>
      <c r="H66">
        <f>T66*(Inputs!$B$14+(Scenarios!$C$3-Inputs!$B$14)*MIN(7,5)/5)/(1+Scenarios!$C$4)^7</f>
        <v/>
      </c>
      <c r="I66">
        <f>U66*(Inputs!$B$14+(Scenarios!$C$3-Inputs!$B$14)*MIN(8,5)/5)/(1+Scenarios!$C$4)^8</f>
        <v/>
      </c>
      <c r="J66">
        <f>V66*(Inputs!$B$14+(Scenarios!$C$3-Inputs!$B$14)*MIN(9,5)/5)/(1+Scenarios!$C$4)^9</f>
        <v/>
      </c>
      <c r="K66">
        <f>W66*(Inputs!$B$14+(Scenarios!$C$3-Inputs!$B$14)*MIN(10,5)/5)/(1+Scenarios!$C$4)^10</f>
        <v/>
      </c>
      <c r="L66">
        <f>W66*(Inputs!$B$14+(Scenarios!$C$3-Inputs!$B$14))*(1+Scenarios!$C$5)/(Scenarios!$C$4-Scenarios!$C$5)/(1+Scenarios!$C$4)^10</f>
        <v/>
      </c>
      <c r="M66">
        <f>(SUM(B66:L66)+Inputs!$B$17)*Inputs!$B$8/Inputs!$B$3*Inputs!$B$2</f>
        <v/>
      </c>
      <c r="N66">
        <f>Inputs!$B$6*(1+($A66-($A66-Scenarios!$C$5)*(1-1)/9))</f>
        <v/>
      </c>
      <c r="O66">
        <f>N66*(1+($A66-($A66-Scenarios!$C$5)*(2-1)/9))</f>
        <v/>
      </c>
      <c r="P66">
        <f>O66*(1+($A66-($A66-Scenarios!$C$5)*(3-1)/9))</f>
        <v/>
      </c>
      <c r="Q66">
        <f>P66*(1+($A66-($A66-Scenarios!$C$5)*(4-1)/9))</f>
        <v/>
      </c>
      <c r="R66">
        <f>Q66*(1+($A66-($A66-Scenarios!$C$5)*(5-1)/9))</f>
        <v/>
      </c>
      <c r="S66">
        <f>R66*(1+($A66-($A66-Scenarios!$C$5)*(6-1)/9))</f>
        <v/>
      </c>
      <c r="T66">
        <f>S66*(1+($A66-($A66-Scenarios!$C$5)*(7-1)/9))</f>
        <v/>
      </c>
      <c r="U66">
        <f>T66*(1+($A66-($A66-Scenarios!$C$5)*(8-1)/9))</f>
        <v/>
      </c>
      <c r="V66">
        <f>U66*(1+($A66-($A66-Scenarios!$C$5)*(9-1)/9))</f>
        <v/>
      </c>
      <c r="W66">
        <f>V66*(1+($A66-($A66-Scenarios!$C$5)*(10-1)/9))</f>
        <v/>
      </c>
    </row>
    <row r="67">
      <c r="A67" t="n">
        <v>1.275</v>
      </c>
      <c r="B67">
        <f>N67*(Inputs!$B$14+(Scenarios!$C$3-Inputs!$B$14)*MIN(1,5)/5)/(1+Scenarios!$C$4)^1</f>
        <v/>
      </c>
      <c r="C67">
        <f>O67*(Inputs!$B$14+(Scenarios!$C$3-Inputs!$B$14)*MIN(2,5)/5)/(1+Scenarios!$C$4)^2</f>
        <v/>
      </c>
      <c r="D67">
        <f>P67*(Inputs!$B$14+(Scenarios!$C$3-Inputs!$B$14)*MIN(3,5)/5)/(1+Scenarios!$C$4)^3</f>
        <v/>
      </c>
      <c r="E67">
        <f>Q67*(Inputs!$B$14+(Scenarios!$C$3-Inputs!$B$14)*MIN(4,5)/5)/(1+Scenarios!$C$4)^4</f>
        <v/>
      </c>
      <c r="F67">
        <f>R67*(Inputs!$B$14+(Scenarios!$C$3-Inputs!$B$14)*MIN(5,5)/5)/(1+Scenarios!$C$4)^5</f>
        <v/>
      </c>
      <c r="G67">
        <f>S67*(Inputs!$B$14+(Scenarios!$C$3-Inputs!$B$14)*MIN(6,5)/5)/(1+Scenarios!$C$4)^6</f>
        <v/>
      </c>
      <c r="H67">
        <f>T67*(Inputs!$B$14+(Scenarios!$C$3-Inputs!$B$14)*MIN(7,5)/5)/(1+Scenarios!$C$4)^7</f>
        <v/>
      </c>
      <c r="I67">
        <f>U67*(Inputs!$B$14+(Scenarios!$C$3-Inputs!$B$14)*MIN(8,5)/5)/(1+Scenarios!$C$4)^8</f>
        <v/>
      </c>
      <c r="J67">
        <f>V67*(Inputs!$B$14+(Scenarios!$C$3-Inputs!$B$14)*MIN(9,5)/5)/(1+Scenarios!$C$4)^9</f>
        <v/>
      </c>
      <c r="K67">
        <f>W67*(Inputs!$B$14+(Scenarios!$C$3-Inputs!$B$14)*MIN(10,5)/5)/(1+Scenarios!$C$4)^10</f>
        <v/>
      </c>
      <c r="L67">
        <f>W67*(Inputs!$B$14+(Scenarios!$C$3-Inputs!$B$14))*(1+Scenarios!$C$5)/(Scenarios!$C$4-Scenarios!$C$5)/(1+Scenarios!$C$4)^10</f>
        <v/>
      </c>
      <c r="M67">
        <f>(SUM(B67:L67)+Inputs!$B$17)*Inputs!$B$8/Inputs!$B$3*Inputs!$B$2</f>
        <v/>
      </c>
      <c r="N67">
        <f>Inputs!$B$6*(1+($A67-($A67-Scenarios!$C$5)*(1-1)/9))</f>
        <v/>
      </c>
      <c r="O67">
        <f>N67*(1+($A67-($A67-Scenarios!$C$5)*(2-1)/9))</f>
        <v/>
      </c>
      <c r="P67">
        <f>O67*(1+($A67-($A67-Scenarios!$C$5)*(3-1)/9))</f>
        <v/>
      </c>
      <c r="Q67">
        <f>P67*(1+($A67-($A67-Scenarios!$C$5)*(4-1)/9))</f>
        <v/>
      </c>
      <c r="R67">
        <f>Q67*(1+($A67-($A67-Scenarios!$C$5)*(5-1)/9))</f>
        <v/>
      </c>
      <c r="S67">
        <f>R67*(1+($A67-($A67-Scenarios!$C$5)*(6-1)/9))</f>
        <v/>
      </c>
      <c r="T67">
        <f>S67*(1+($A67-($A67-Scenarios!$C$5)*(7-1)/9))</f>
        <v/>
      </c>
      <c r="U67">
        <f>T67*(1+($A67-($A67-Scenarios!$C$5)*(8-1)/9))</f>
        <v/>
      </c>
      <c r="V67">
        <f>U67*(1+($A67-($A67-Scenarios!$C$5)*(9-1)/9))</f>
        <v/>
      </c>
      <c r="W67">
        <f>V67*(1+($A67-($A67-Scenarios!$C$5)*(10-1)/9))</f>
        <v/>
      </c>
    </row>
    <row r="68">
      <c r="A68" t="n">
        <v>1.3</v>
      </c>
      <c r="B68">
        <f>N68*(Inputs!$B$14+(Scenarios!$C$3-Inputs!$B$14)*MIN(1,5)/5)/(1+Scenarios!$C$4)^1</f>
        <v/>
      </c>
      <c r="C68">
        <f>O68*(Inputs!$B$14+(Scenarios!$C$3-Inputs!$B$14)*MIN(2,5)/5)/(1+Scenarios!$C$4)^2</f>
        <v/>
      </c>
      <c r="D68">
        <f>P68*(Inputs!$B$14+(Scenarios!$C$3-Inputs!$B$14)*MIN(3,5)/5)/(1+Scenarios!$C$4)^3</f>
        <v/>
      </c>
      <c r="E68">
        <f>Q68*(Inputs!$B$14+(Scenarios!$C$3-Inputs!$B$14)*MIN(4,5)/5)/(1+Scenarios!$C$4)^4</f>
        <v/>
      </c>
      <c r="F68">
        <f>R68*(Inputs!$B$14+(Scenarios!$C$3-Inputs!$B$14)*MIN(5,5)/5)/(1+Scenarios!$C$4)^5</f>
        <v/>
      </c>
      <c r="G68">
        <f>S68*(Inputs!$B$14+(Scenarios!$C$3-Inputs!$B$14)*MIN(6,5)/5)/(1+Scenarios!$C$4)^6</f>
        <v/>
      </c>
      <c r="H68">
        <f>T68*(Inputs!$B$14+(Scenarios!$C$3-Inputs!$B$14)*MIN(7,5)/5)/(1+Scenarios!$C$4)^7</f>
        <v/>
      </c>
      <c r="I68">
        <f>U68*(Inputs!$B$14+(Scenarios!$C$3-Inputs!$B$14)*MIN(8,5)/5)/(1+Scenarios!$C$4)^8</f>
        <v/>
      </c>
      <c r="J68">
        <f>V68*(Inputs!$B$14+(Scenarios!$C$3-Inputs!$B$14)*MIN(9,5)/5)/(1+Scenarios!$C$4)^9</f>
        <v/>
      </c>
      <c r="K68">
        <f>W68*(Inputs!$B$14+(Scenarios!$C$3-Inputs!$B$14)*MIN(10,5)/5)/(1+Scenarios!$C$4)^10</f>
        <v/>
      </c>
      <c r="L68">
        <f>W68*(Inputs!$B$14+(Scenarios!$C$3-Inputs!$B$14))*(1+Scenarios!$C$5)/(Scenarios!$C$4-Scenarios!$C$5)/(1+Scenarios!$C$4)^10</f>
        <v/>
      </c>
      <c r="M68">
        <f>(SUM(B68:L68)+Inputs!$B$17)*Inputs!$B$8/Inputs!$B$3*Inputs!$B$2</f>
        <v/>
      </c>
      <c r="N68">
        <f>Inputs!$B$6*(1+($A68-($A68-Scenarios!$C$5)*(1-1)/9))</f>
        <v/>
      </c>
      <c r="O68">
        <f>N68*(1+($A68-($A68-Scenarios!$C$5)*(2-1)/9))</f>
        <v/>
      </c>
      <c r="P68">
        <f>O68*(1+($A68-($A68-Scenarios!$C$5)*(3-1)/9))</f>
        <v/>
      </c>
      <c r="Q68">
        <f>P68*(1+($A68-($A68-Scenarios!$C$5)*(4-1)/9))</f>
        <v/>
      </c>
      <c r="R68">
        <f>Q68*(1+($A68-($A68-Scenarios!$C$5)*(5-1)/9))</f>
        <v/>
      </c>
      <c r="S68">
        <f>R68*(1+($A68-($A68-Scenarios!$C$5)*(6-1)/9))</f>
        <v/>
      </c>
      <c r="T68">
        <f>S68*(1+($A68-($A68-Scenarios!$C$5)*(7-1)/9))</f>
        <v/>
      </c>
      <c r="U68">
        <f>T68*(1+($A68-($A68-Scenarios!$C$5)*(8-1)/9))</f>
        <v/>
      </c>
      <c r="V68">
        <f>U68*(1+($A68-($A68-Scenarios!$C$5)*(9-1)/9))</f>
        <v/>
      </c>
      <c r="W68">
        <f>V68*(1+($A68-($A68-Scenarios!$C$5)*(10-1)/9))</f>
        <v/>
      </c>
    </row>
    <row r="69">
      <c r="A69" t="n">
        <v>1.325</v>
      </c>
      <c r="B69">
        <f>N69*(Inputs!$B$14+(Scenarios!$C$3-Inputs!$B$14)*MIN(1,5)/5)/(1+Scenarios!$C$4)^1</f>
        <v/>
      </c>
      <c r="C69">
        <f>O69*(Inputs!$B$14+(Scenarios!$C$3-Inputs!$B$14)*MIN(2,5)/5)/(1+Scenarios!$C$4)^2</f>
        <v/>
      </c>
      <c r="D69">
        <f>P69*(Inputs!$B$14+(Scenarios!$C$3-Inputs!$B$14)*MIN(3,5)/5)/(1+Scenarios!$C$4)^3</f>
        <v/>
      </c>
      <c r="E69">
        <f>Q69*(Inputs!$B$14+(Scenarios!$C$3-Inputs!$B$14)*MIN(4,5)/5)/(1+Scenarios!$C$4)^4</f>
        <v/>
      </c>
      <c r="F69">
        <f>R69*(Inputs!$B$14+(Scenarios!$C$3-Inputs!$B$14)*MIN(5,5)/5)/(1+Scenarios!$C$4)^5</f>
        <v/>
      </c>
      <c r="G69">
        <f>S69*(Inputs!$B$14+(Scenarios!$C$3-Inputs!$B$14)*MIN(6,5)/5)/(1+Scenarios!$C$4)^6</f>
        <v/>
      </c>
      <c r="H69">
        <f>T69*(Inputs!$B$14+(Scenarios!$C$3-Inputs!$B$14)*MIN(7,5)/5)/(1+Scenarios!$C$4)^7</f>
        <v/>
      </c>
      <c r="I69">
        <f>U69*(Inputs!$B$14+(Scenarios!$C$3-Inputs!$B$14)*MIN(8,5)/5)/(1+Scenarios!$C$4)^8</f>
        <v/>
      </c>
      <c r="J69">
        <f>V69*(Inputs!$B$14+(Scenarios!$C$3-Inputs!$B$14)*MIN(9,5)/5)/(1+Scenarios!$C$4)^9</f>
        <v/>
      </c>
      <c r="K69">
        <f>W69*(Inputs!$B$14+(Scenarios!$C$3-Inputs!$B$14)*MIN(10,5)/5)/(1+Scenarios!$C$4)^10</f>
        <v/>
      </c>
      <c r="L69">
        <f>W69*(Inputs!$B$14+(Scenarios!$C$3-Inputs!$B$14))*(1+Scenarios!$C$5)/(Scenarios!$C$4-Scenarios!$C$5)/(1+Scenarios!$C$4)^10</f>
        <v/>
      </c>
      <c r="M69">
        <f>(SUM(B69:L69)+Inputs!$B$17)*Inputs!$B$8/Inputs!$B$3*Inputs!$B$2</f>
        <v/>
      </c>
      <c r="N69">
        <f>Inputs!$B$6*(1+($A69-($A69-Scenarios!$C$5)*(1-1)/9))</f>
        <v/>
      </c>
      <c r="O69">
        <f>N69*(1+($A69-($A69-Scenarios!$C$5)*(2-1)/9))</f>
        <v/>
      </c>
      <c r="P69">
        <f>O69*(1+($A69-($A69-Scenarios!$C$5)*(3-1)/9))</f>
        <v/>
      </c>
      <c r="Q69">
        <f>P69*(1+($A69-($A69-Scenarios!$C$5)*(4-1)/9))</f>
        <v/>
      </c>
      <c r="R69">
        <f>Q69*(1+($A69-($A69-Scenarios!$C$5)*(5-1)/9))</f>
        <v/>
      </c>
      <c r="S69">
        <f>R69*(1+($A69-($A69-Scenarios!$C$5)*(6-1)/9))</f>
        <v/>
      </c>
      <c r="T69">
        <f>S69*(1+($A69-($A69-Scenarios!$C$5)*(7-1)/9))</f>
        <v/>
      </c>
      <c r="U69">
        <f>T69*(1+($A69-($A69-Scenarios!$C$5)*(8-1)/9))</f>
        <v/>
      </c>
      <c r="V69">
        <f>U69*(1+($A69-($A69-Scenarios!$C$5)*(9-1)/9))</f>
        <v/>
      </c>
      <c r="W69">
        <f>V69*(1+($A69-($A69-Scenarios!$C$5)*(10-1)/9))</f>
        <v/>
      </c>
    </row>
    <row r="70">
      <c r="A70" t="n">
        <v>1.35</v>
      </c>
      <c r="B70">
        <f>N70*(Inputs!$B$14+(Scenarios!$C$3-Inputs!$B$14)*MIN(1,5)/5)/(1+Scenarios!$C$4)^1</f>
        <v/>
      </c>
      <c r="C70">
        <f>O70*(Inputs!$B$14+(Scenarios!$C$3-Inputs!$B$14)*MIN(2,5)/5)/(1+Scenarios!$C$4)^2</f>
        <v/>
      </c>
      <c r="D70">
        <f>P70*(Inputs!$B$14+(Scenarios!$C$3-Inputs!$B$14)*MIN(3,5)/5)/(1+Scenarios!$C$4)^3</f>
        <v/>
      </c>
      <c r="E70">
        <f>Q70*(Inputs!$B$14+(Scenarios!$C$3-Inputs!$B$14)*MIN(4,5)/5)/(1+Scenarios!$C$4)^4</f>
        <v/>
      </c>
      <c r="F70">
        <f>R70*(Inputs!$B$14+(Scenarios!$C$3-Inputs!$B$14)*MIN(5,5)/5)/(1+Scenarios!$C$4)^5</f>
        <v/>
      </c>
      <c r="G70">
        <f>S70*(Inputs!$B$14+(Scenarios!$C$3-Inputs!$B$14)*MIN(6,5)/5)/(1+Scenarios!$C$4)^6</f>
        <v/>
      </c>
      <c r="H70">
        <f>T70*(Inputs!$B$14+(Scenarios!$C$3-Inputs!$B$14)*MIN(7,5)/5)/(1+Scenarios!$C$4)^7</f>
        <v/>
      </c>
      <c r="I70">
        <f>U70*(Inputs!$B$14+(Scenarios!$C$3-Inputs!$B$14)*MIN(8,5)/5)/(1+Scenarios!$C$4)^8</f>
        <v/>
      </c>
      <c r="J70">
        <f>V70*(Inputs!$B$14+(Scenarios!$C$3-Inputs!$B$14)*MIN(9,5)/5)/(1+Scenarios!$C$4)^9</f>
        <v/>
      </c>
      <c r="K70">
        <f>W70*(Inputs!$B$14+(Scenarios!$C$3-Inputs!$B$14)*MIN(10,5)/5)/(1+Scenarios!$C$4)^10</f>
        <v/>
      </c>
      <c r="L70">
        <f>W70*(Inputs!$B$14+(Scenarios!$C$3-Inputs!$B$14))*(1+Scenarios!$C$5)/(Scenarios!$C$4-Scenarios!$C$5)/(1+Scenarios!$C$4)^10</f>
        <v/>
      </c>
      <c r="M70">
        <f>(SUM(B70:L70)+Inputs!$B$17)*Inputs!$B$8/Inputs!$B$3*Inputs!$B$2</f>
        <v/>
      </c>
      <c r="N70">
        <f>Inputs!$B$6*(1+($A70-($A70-Scenarios!$C$5)*(1-1)/9))</f>
        <v/>
      </c>
      <c r="O70">
        <f>N70*(1+($A70-($A70-Scenarios!$C$5)*(2-1)/9))</f>
        <v/>
      </c>
      <c r="P70">
        <f>O70*(1+($A70-($A70-Scenarios!$C$5)*(3-1)/9))</f>
        <v/>
      </c>
      <c r="Q70">
        <f>P70*(1+($A70-($A70-Scenarios!$C$5)*(4-1)/9))</f>
        <v/>
      </c>
      <c r="R70">
        <f>Q70*(1+($A70-($A70-Scenarios!$C$5)*(5-1)/9))</f>
        <v/>
      </c>
      <c r="S70">
        <f>R70*(1+($A70-($A70-Scenarios!$C$5)*(6-1)/9))</f>
        <v/>
      </c>
      <c r="T70">
        <f>S70*(1+($A70-($A70-Scenarios!$C$5)*(7-1)/9))</f>
        <v/>
      </c>
      <c r="U70">
        <f>T70*(1+($A70-($A70-Scenarios!$C$5)*(8-1)/9))</f>
        <v/>
      </c>
      <c r="V70">
        <f>U70*(1+($A70-($A70-Scenarios!$C$5)*(9-1)/9))</f>
        <v/>
      </c>
      <c r="W70">
        <f>V70*(1+($A70-($A70-Scenarios!$C$5)*(10-1)/9))</f>
        <v/>
      </c>
    </row>
    <row r="71">
      <c r="A71" t="n">
        <v>1.375</v>
      </c>
      <c r="B71">
        <f>N71*(Inputs!$B$14+(Scenarios!$C$3-Inputs!$B$14)*MIN(1,5)/5)/(1+Scenarios!$C$4)^1</f>
        <v/>
      </c>
      <c r="C71">
        <f>O71*(Inputs!$B$14+(Scenarios!$C$3-Inputs!$B$14)*MIN(2,5)/5)/(1+Scenarios!$C$4)^2</f>
        <v/>
      </c>
      <c r="D71">
        <f>P71*(Inputs!$B$14+(Scenarios!$C$3-Inputs!$B$14)*MIN(3,5)/5)/(1+Scenarios!$C$4)^3</f>
        <v/>
      </c>
      <c r="E71">
        <f>Q71*(Inputs!$B$14+(Scenarios!$C$3-Inputs!$B$14)*MIN(4,5)/5)/(1+Scenarios!$C$4)^4</f>
        <v/>
      </c>
      <c r="F71">
        <f>R71*(Inputs!$B$14+(Scenarios!$C$3-Inputs!$B$14)*MIN(5,5)/5)/(1+Scenarios!$C$4)^5</f>
        <v/>
      </c>
      <c r="G71">
        <f>S71*(Inputs!$B$14+(Scenarios!$C$3-Inputs!$B$14)*MIN(6,5)/5)/(1+Scenarios!$C$4)^6</f>
        <v/>
      </c>
      <c r="H71">
        <f>T71*(Inputs!$B$14+(Scenarios!$C$3-Inputs!$B$14)*MIN(7,5)/5)/(1+Scenarios!$C$4)^7</f>
        <v/>
      </c>
      <c r="I71">
        <f>U71*(Inputs!$B$14+(Scenarios!$C$3-Inputs!$B$14)*MIN(8,5)/5)/(1+Scenarios!$C$4)^8</f>
        <v/>
      </c>
      <c r="J71">
        <f>V71*(Inputs!$B$14+(Scenarios!$C$3-Inputs!$B$14)*MIN(9,5)/5)/(1+Scenarios!$C$4)^9</f>
        <v/>
      </c>
      <c r="K71">
        <f>W71*(Inputs!$B$14+(Scenarios!$C$3-Inputs!$B$14)*MIN(10,5)/5)/(1+Scenarios!$C$4)^10</f>
        <v/>
      </c>
      <c r="L71">
        <f>W71*(Inputs!$B$14+(Scenarios!$C$3-Inputs!$B$14))*(1+Scenarios!$C$5)/(Scenarios!$C$4-Scenarios!$C$5)/(1+Scenarios!$C$4)^10</f>
        <v/>
      </c>
      <c r="M71">
        <f>(SUM(B71:L71)+Inputs!$B$17)*Inputs!$B$8/Inputs!$B$3*Inputs!$B$2</f>
        <v/>
      </c>
      <c r="N71">
        <f>Inputs!$B$6*(1+($A71-($A71-Scenarios!$C$5)*(1-1)/9))</f>
        <v/>
      </c>
      <c r="O71">
        <f>N71*(1+($A71-($A71-Scenarios!$C$5)*(2-1)/9))</f>
        <v/>
      </c>
      <c r="P71">
        <f>O71*(1+($A71-($A71-Scenarios!$C$5)*(3-1)/9))</f>
        <v/>
      </c>
      <c r="Q71">
        <f>P71*(1+($A71-($A71-Scenarios!$C$5)*(4-1)/9))</f>
        <v/>
      </c>
      <c r="R71">
        <f>Q71*(1+($A71-($A71-Scenarios!$C$5)*(5-1)/9))</f>
        <v/>
      </c>
      <c r="S71">
        <f>R71*(1+($A71-($A71-Scenarios!$C$5)*(6-1)/9))</f>
        <v/>
      </c>
      <c r="T71">
        <f>S71*(1+($A71-($A71-Scenarios!$C$5)*(7-1)/9))</f>
        <v/>
      </c>
      <c r="U71">
        <f>T71*(1+($A71-($A71-Scenarios!$C$5)*(8-1)/9))</f>
        <v/>
      </c>
      <c r="V71">
        <f>U71*(1+($A71-($A71-Scenarios!$C$5)*(9-1)/9))</f>
        <v/>
      </c>
      <c r="W71">
        <f>V71*(1+($A71-($A71-Scenarios!$C$5)*(10-1)/9))</f>
        <v/>
      </c>
    </row>
    <row r="72">
      <c r="A72" t="n">
        <v>1.4</v>
      </c>
      <c r="B72">
        <f>N72*(Inputs!$B$14+(Scenarios!$C$3-Inputs!$B$14)*MIN(1,5)/5)/(1+Scenarios!$C$4)^1</f>
        <v/>
      </c>
      <c r="C72">
        <f>O72*(Inputs!$B$14+(Scenarios!$C$3-Inputs!$B$14)*MIN(2,5)/5)/(1+Scenarios!$C$4)^2</f>
        <v/>
      </c>
      <c r="D72">
        <f>P72*(Inputs!$B$14+(Scenarios!$C$3-Inputs!$B$14)*MIN(3,5)/5)/(1+Scenarios!$C$4)^3</f>
        <v/>
      </c>
      <c r="E72">
        <f>Q72*(Inputs!$B$14+(Scenarios!$C$3-Inputs!$B$14)*MIN(4,5)/5)/(1+Scenarios!$C$4)^4</f>
        <v/>
      </c>
      <c r="F72">
        <f>R72*(Inputs!$B$14+(Scenarios!$C$3-Inputs!$B$14)*MIN(5,5)/5)/(1+Scenarios!$C$4)^5</f>
        <v/>
      </c>
      <c r="G72">
        <f>S72*(Inputs!$B$14+(Scenarios!$C$3-Inputs!$B$14)*MIN(6,5)/5)/(1+Scenarios!$C$4)^6</f>
        <v/>
      </c>
      <c r="H72">
        <f>T72*(Inputs!$B$14+(Scenarios!$C$3-Inputs!$B$14)*MIN(7,5)/5)/(1+Scenarios!$C$4)^7</f>
        <v/>
      </c>
      <c r="I72">
        <f>U72*(Inputs!$B$14+(Scenarios!$C$3-Inputs!$B$14)*MIN(8,5)/5)/(1+Scenarios!$C$4)^8</f>
        <v/>
      </c>
      <c r="J72">
        <f>V72*(Inputs!$B$14+(Scenarios!$C$3-Inputs!$B$14)*MIN(9,5)/5)/(1+Scenarios!$C$4)^9</f>
        <v/>
      </c>
      <c r="K72">
        <f>W72*(Inputs!$B$14+(Scenarios!$C$3-Inputs!$B$14)*MIN(10,5)/5)/(1+Scenarios!$C$4)^10</f>
        <v/>
      </c>
      <c r="L72">
        <f>W72*(Inputs!$B$14+(Scenarios!$C$3-Inputs!$B$14))*(1+Scenarios!$C$5)/(Scenarios!$C$4-Scenarios!$C$5)/(1+Scenarios!$C$4)^10</f>
        <v/>
      </c>
      <c r="M72">
        <f>(SUM(B72:L72)+Inputs!$B$17)*Inputs!$B$8/Inputs!$B$3*Inputs!$B$2</f>
        <v/>
      </c>
      <c r="N72">
        <f>Inputs!$B$6*(1+($A72-($A72-Scenarios!$C$5)*(1-1)/9))</f>
        <v/>
      </c>
      <c r="O72">
        <f>N72*(1+($A72-($A72-Scenarios!$C$5)*(2-1)/9))</f>
        <v/>
      </c>
      <c r="P72">
        <f>O72*(1+($A72-($A72-Scenarios!$C$5)*(3-1)/9))</f>
        <v/>
      </c>
      <c r="Q72">
        <f>P72*(1+($A72-($A72-Scenarios!$C$5)*(4-1)/9))</f>
        <v/>
      </c>
      <c r="R72">
        <f>Q72*(1+($A72-($A72-Scenarios!$C$5)*(5-1)/9))</f>
        <v/>
      </c>
      <c r="S72">
        <f>R72*(1+($A72-($A72-Scenarios!$C$5)*(6-1)/9))</f>
        <v/>
      </c>
      <c r="T72">
        <f>S72*(1+($A72-($A72-Scenarios!$C$5)*(7-1)/9))</f>
        <v/>
      </c>
      <c r="U72">
        <f>T72*(1+($A72-($A72-Scenarios!$C$5)*(8-1)/9))</f>
        <v/>
      </c>
      <c r="V72">
        <f>U72*(1+($A72-($A72-Scenarios!$C$5)*(9-1)/9))</f>
        <v/>
      </c>
      <c r="W72">
        <f>V72*(1+($A72-($A72-Scenarios!$C$5)*(10-1)/9))</f>
        <v/>
      </c>
    </row>
    <row r="73">
      <c r="A73" t="n">
        <v>1.425</v>
      </c>
      <c r="B73">
        <f>N73*(Inputs!$B$14+(Scenarios!$C$3-Inputs!$B$14)*MIN(1,5)/5)/(1+Scenarios!$C$4)^1</f>
        <v/>
      </c>
      <c r="C73">
        <f>O73*(Inputs!$B$14+(Scenarios!$C$3-Inputs!$B$14)*MIN(2,5)/5)/(1+Scenarios!$C$4)^2</f>
        <v/>
      </c>
      <c r="D73">
        <f>P73*(Inputs!$B$14+(Scenarios!$C$3-Inputs!$B$14)*MIN(3,5)/5)/(1+Scenarios!$C$4)^3</f>
        <v/>
      </c>
      <c r="E73">
        <f>Q73*(Inputs!$B$14+(Scenarios!$C$3-Inputs!$B$14)*MIN(4,5)/5)/(1+Scenarios!$C$4)^4</f>
        <v/>
      </c>
      <c r="F73">
        <f>R73*(Inputs!$B$14+(Scenarios!$C$3-Inputs!$B$14)*MIN(5,5)/5)/(1+Scenarios!$C$4)^5</f>
        <v/>
      </c>
      <c r="G73">
        <f>S73*(Inputs!$B$14+(Scenarios!$C$3-Inputs!$B$14)*MIN(6,5)/5)/(1+Scenarios!$C$4)^6</f>
        <v/>
      </c>
      <c r="H73">
        <f>T73*(Inputs!$B$14+(Scenarios!$C$3-Inputs!$B$14)*MIN(7,5)/5)/(1+Scenarios!$C$4)^7</f>
        <v/>
      </c>
      <c r="I73">
        <f>U73*(Inputs!$B$14+(Scenarios!$C$3-Inputs!$B$14)*MIN(8,5)/5)/(1+Scenarios!$C$4)^8</f>
        <v/>
      </c>
      <c r="J73">
        <f>V73*(Inputs!$B$14+(Scenarios!$C$3-Inputs!$B$14)*MIN(9,5)/5)/(1+Scenarios!$C$4)^9</f>
        <v/>
      </c>
      <c r="K73">
        <f>W73*(Inputs!$B$14+(Scenarios!$C$3-Inputs!$B$14)*MIN(10,5)/5)/(1+Scenarios!$C$4)^10</f>
        <v/>
      </c>
      <c r="L73">
        <f>W73*(Inputs!$B$14+(Scenarios!$C$3-Inputs!$B$14))*(1+Scenarios!$C$5)/(Scenarios!$C$4-Scenarios!$C$5)/(1+Scenarios!$C$4)^10</f>
        <v/>
      </c>
      <c r="M73">
        <f>(SUM(B73:L73)+Inputs!$B$17)*Inputs!$B$8/Inputs!$B$3*Inputs!$B$2</f>
        <v/>
      </c>
      <c r="N73">
        <f>Inputs!$B$6*(1+($A73-($A73-Scenarios!$C$5)*(1-1)/9))</f>
        <v/>
      </c>
      <c r="O73">
        <f>N73*(1+($A73-($A73-Scenarios!$C$5)*(2-1)/9))</f>
        <v/>
      </c>
      <c r="P73">
        <f>O73*(1+($A73-($A73-Scenarios!$C$5)*(3-1)/9))</f>
        <v/>
      </c>
      <c r="Q73">
        <f>P73*(1+($A73-($A73-Scenarios!$C$5)*(4-1)/9))</f>
        <v/>
      </c>
      <c r="R73">
        <f>Q73*(1+($A73-($A73-Scenarios!$C$5)*(5-1)/9))</f>
        <v/>
      </c>
      <c r="S73">
        <f>R73*(1+($A73-($A73-Scenarios!$C$5)*(6-1)/9))</f>
        <v/>
      </c>
      <c r="T73">
        <f>S73*(1+($A73-($A73-Scenarios!$C$5)*(7-1)/9))</f>
        <v/>
      </c>
      <c r="U73">
        <f>T73*(1+($A73-($A73-Scenarios!$C$5)*(8-1)/9))</f>
        <v/>
      </c>
      <c r="V73">
        <f>U73*(1+($A73-($A73-Scenarios!$C$5)*(9-1)/9))</f>
        <v/>
      </c>
      <c r="W73">
        <f>V73*(1+($A73-($A73-Scenarios!$C$5)*(10-1)/9))</f>
        <v/>
      </c>
    </row>
    <row r="74">
      <c r="A74" t="n">
        <v>1.45</v>
      </c>
      <c r="B74">
        <f>N74*(Inputs!$B$14+(Scenarios!$C$3-Inputs!$B$14)*MIN(1,5)/5)/(1+Scenarios!$C$4)^1</f>
        <v/>
      </c>
      <c r="C74">
        <f>O74*(Inputs!$B$14+(Scenarios!$C$3-Inputs!$B$14)*MIN(2,5)/5)/(1+Scenarios!$C$4)^2</f>
        <v/>
      </c>
      <c r="D74">
        <f>P74*(Inputs!$B$14+(Scenarios!$C$3-Inputs!$B$14)*MIN(3,5)/5)/(1+Scenarios!$C$4)^3</f>
        <v/>
      </c>
      <c r="E74">
        <f>Q74*(Inputs!$B$14+(Scenarios!$C$3-Inputs!$B$14)*MIN(4,5)/5)/(1+Scenarios!$C$4)^4</f>
        <v/>
      </c>
      <c r="F74">
        <f>R74*(Inputs!$B$14+(Scenarios!$C$3-Inputs!$B$14)*MIN(5,5)/5)/(1+Scenarios!$C$4)^5</f>
        <v/>
      </c>
      <c r="G74">
        <f>S74*(Inputs!$B$14+(Scenarios!$C$3-Inputs!$B$14)*MIN(6,5)/5)/(1+Scenarios!$C$4)^6</f>
        <v/>
      </c>
      <c r="H74">
        <f>T74*(Inputs!$B$14+(Scenarios!$C$3-Inputs!$B$14)*MIN(7,5)/5)/(1+Scenarios!$C$4)^7</f>
        <v/>
      </c>
      <c r="I74">
        <f>U74*(Inputs!$B$14+(Scenarios!$C$3-Inputs!$B$14)*MIN(8,5)/5)/(1+Scenarios!$C$4)^8</f>
        <v/>
      </c>
      <c r="J74">
        <f>V74*(Inputs!$B$14+(Scenarios!$C$3-Inputs!$B$14)*MIN(9,5)/5)/(1+Scenarios!$C$4)^9</f>
        <v/>
      </c>
      <c r="K74">
        <f>W74*(Inputs!$B$14+(Scenarios!$C$3-Inputs!$B$14)*MIN(10,5)/5)/(1+Scenarios!$C$4)^10</f>
        <v/>
      </c>
      <c r="L74">
        <f>W74*(Inputs!$B$14+(Scenarios!$C$3-Inputs!$B$14))*(1+Scenarios!$C$5)/(Scenarios!$C$4-Scenarios!$C$5)/(1+Scenarios!$C$4)^10</f>
        <v/>
      </c>
      <c r="M74">
        <f>(SUM(B74:L74)+Inputs!$B$17)*Inputs!$B$8/Inputs!$B$3*Inputs!$B$2</f>
        <v/>
      </c>
      <c r="N74">
        <f>Inputs!$B$6*(1+($A74-($A74-Scenarios!$C$5)*(1-1)/9))</f>
        <v/>
      </c>
      <c r="O74">
        <f>N74*(1+($A74-($A74-Scenarios!$C$5)*(2-1)/9))</f>
        <v/>
      </c>
      <c r="P74">
        <f>O74*(1+($A74-($A74-Scenarios!$C$5)*(3-1)/9))</f>
        <v/>
      </c>
      <c r="Q74">
        <f>P74*(1+($A74-($A74-Scenarios!$C$5)*(4-1)/9))</f>
        <v/>
      </c>
      <c r="R74">
        <f>Q74*(1+($A74-($A74-Scenarios!$C$5)*(5-1)/9))</f>
        <v/>
      </c>
      <c r="S74">
        <f>R74*(1+($A74-($A74-Scenarios!$C$5)*(6-1)/9))</f>
        <v/>
      </c>
      <c r="T74">
        <f>S74*(1+($A74-($A74-Scenarios!$C$5)*(7-1)/9))</f>
        <v/>
      </c>
      <c r="U74">
        <f>T74*(1+($A74-($A74-Scenarios!$C$5)*(8-1)/9))</f>
        <v/>
      </c>
      <c r="V74">
        <f>U74*(1+($A74-($A74-Scenarios!$C$5)*(9-1)/9))</f>
        <v/>
      </c>
      <c r="W74">
        <f>V74*(1+($A74-($A74-Scenarios!$C$5)*(10-1)/9))</f>
        <v/>
      </c>
    </row>
    <row r="75">
      <c r="A75" t="n">
        <v>1.475</v>
      </c>
      <c r="B75">
        <f>N75*(Inputs!$B$14+(Scenarios!$C$3-Inputs!$B$14)*MIN(1,5)/5)/(1+Scenarios!$C$4)^1</f>
        <v/>
      </c>
      <c r="C75">
        <f>O75*(Inputs!$B$14+(Scenarios!$C$3-Inputs!$B$14)*MIN(2,5)/5)/(1+Scenarios!$C$4)^2</f>
        <v/>
      </c>
      <c r="D75">
        <f>P75*(Inputs!$B$14+(Scenarios!$C$3-Inputs!$B$14)*MIN(3,5)/5)/(1+Scenarios!$C$4)^3</f>
        <v/>
      </c>
      <c r="E75">
        <f>Q75*(Inputs!$B$14+(Scenarios!$C$3-Inputs!$B$14)*MIN(4,5)/5)/(1+Scenarios!$C$4)^4</f>
        <v/>
      </c>
      <c r="F75">
        <f>R75*(Inputs!$B$14+(Scenarios!$C$3-Inputs!$B$14)*MIN(5,5)/5)/(1+Scenarios!$C$4)^5</f>
        <v/>
      </c>
      <c r="G75">
        <f>S75*(Inputs!$B$14+(Scenarios!$C$3-Inputs!$B$14)*MIN(6,5)/5)/(1+Scenarios!$C$4)^6</f>
        <v/>
      </c>
      <c r="H75">
        <f>T75*(Inputs!$B$14+(Scenarios!$C$3-Inputs!$B$14)*MIN(7,5)/5)/(1+Scenarios!$C$4)^7</f>
        <v/>
      </c>
      <c r="I75">
        <f>U75*(Inputs!$B$14+(Scenarios!$C$3-Inputs!$B$14)*MIN(8,5)/5)/(1+Scenarios!$C$4)^8</f>
        <v/>
      </c>
      <c r="J75">
        <f>V75*(Inputs!$B$14+(Scenarios!$C$3-Inputs!$B$14)*MIN(9,5)/5)/(1+Scenarios!$C$4)^9</f>
        <v/>
      </c>
      <c r="K75">
        <f>W75*(Inputs!$B$14+(Scenarios!$C$3-Inputs!$B$14)*MIN(10,5)/5)/(1+Scenarios!$C$4)^10</f>
        <v/>
      </c>
      <c r="L75">
        <f>W75*(Inputs!$B$14+(Scenarios!$C$3-Inputs!$B$14))*(1+Scenarios!$C$5)/(Scenarios!$C$4-Scenarios!$C$5)/(1+Scenarios!$C$4)^10</f>
        <v/>
      </c>
      <c r="M75">
        <f>(SUM(B75:L75)+Inputs!$B$17)*Inputs!$B$8/Inputs!$B$3*Inputs!$B$2</f>
        <v/>
      </c>
      <c r="N75">
        <f>Inputs!$B$6*(1+($A75-($A75-Scenarios!$C$5)*(1-1)/9))</f>
        <v/>
      </c>
      <c r="O75">
        <f>N75*(1+($A75-($A75-Scenarios!$C$5)*(2-1)/9))</f>
        <v/>
      </c>
      <c r="P75">
        <f>O75*(1+($A75-($A75-Scenarios!$C$5)*(3-1)/9))</f>
        <v/>
      </c>
      <c r="Q75">
        <f>P75*(1+($A75-($A75-Scenarios!$C$5)*(4-1)/9))</f>
        <v/>
      </c>
      <c r="R75">
        <f>Q75*(1+($A75-($A75-Scenarios!$C$5)*(5-1)/9))</f>
        <v/>
      </c>
      <c r="S75">
        <f>R75*(1+($A75-($A75-Scenarios!$C$5)*(6-1)/9))</f>
        <v/>
      </c>
      <c r="T75">
        <f>S75*(1+($A75-($A75-Scenarios!$C$5)*(7-1)/9))</f>
        <v/>
      </c>
      <c r="U75">
        <f>T75*(1+($A75-($A75-Scenarios!$C$5)*(8-1)/9))</f>
        <v/>
      </c>
      <c r="V75">
        <f>U75*(1+($A75-($A75-Scenarios!$C$5)*(9-1)/9))</f>
        <v/>
      </c>
      <c r="W75">
        <f>V75*(1+($A75-($A75-Scenarios!$C$5)*(10-1)/9))</f>
        <v/>
      </c>
    </row>
    <row r="76">
      <c r="A76" t="n">
        <v>1.5</v>
      </c>
      <c r="B76">
        <f>N76*(Inputs!$B$14+(Scenarios!$C$3-Inputs!$B$14)*MIN(1,5)/5)/(1+Scenarios!$C$4)^1</f>
        <v/>
      </c>
      <c r="C76">
        <f>O76*(Inputs!$B$14+(Scenarios!$C$3-Inputs!$B$14)*MIN(2,5)/5)/(1+Scenarios!$C$4)^2</f>
        <v/>
      </c>
      <c r="D76">
        <f>P76*(Inputs!$B$14+(Scenarios!$C$3-Inputs!$B$14)*MIN(3,5)/5)/(1+Scenarios!$C$4)^3</f>
        <v/>
      </c>
      <c r="E76">
        <f>Q76*(Inputs!$B$14+(Scenarios!$C$3-Inputs!$B$14)*MIN(4,5)/5)/(1+Scenarios!$C$4)^4</f>
        <v/>
      </c>
      <c r="F76">
        <f>R76*(Inputs!$B$14+(Scenarios!$C$3-Inputs!$B$14)*MIN(5,5)/5)/(1+Scenarios!$C$4)^5</f>
        <v/>
      </c>
      <c r="G76">
        <f>S76*(Inputs!$B$14+(Scenarios!$C$3-Inputs!$B$14)*MIN(6,5)/5)/(1+Scenarios!$C$4)^6</f>
        <v/>
      </c>
      <c r="H76">
        <f>T76*(Inputs!$B$14+(Scenarios!$C$3-Inputs!$B$14)*MIN(7,5)/5)/(1+Scenarios!$C$4)^7</f>
        <v/>
      </c>
      <c r="I76">
        <f>U76*(Inputs!$B$14+(Scenarios!$C$3-Inputs!$B$14)*MIN(8,5)/5)/(1+Scenarios!$C$4)^8</f>
        <v/>
      </c>
      <c r="J76">
        <f>V76*(Inputs!$B$14+(Scenarios!$C$3-Inputs!$B$14)*MIN(9,5)/5)/(1+Scenarios!$C$4)^9</f>
        <v/>
      </c>
      <c r="K76">
        <f>W76*(Inputs!$B$14+(Scenarios!$C$3-Inputs!$B$14)*MIN(10,5)/5)/(1+Scenarios!$C$4)^10</f>
        <v/>
      </c>
      <c r="L76">
        <f>W76*(Inputs!$B$14+(Scenarios!$C$3-Inputs!$B$14))*(1+Scenarios!$C$5)/(Scenarios!$C$4-Scenarios!$C$5)/(1+Scenarios!$C$4)^10</f>
        <v/>
      </c>
      <c r="M76">
        <f>(SUM(B76:L76)+Inputs!$B$17)*Inputs!$B$8/Inputs!$B$3*Inputs!$B$2</f>
        <v/>
      </c>
      <c r="N76">
        <f>Inputs!$B$6*(1+($A76-($A76-Scenarios!$C$5)*(1-1)/9))</f>
        <v/>
      </c>
      <c r="O76">
        <f>N76*(1+($A76-($A76-Scenarios!$C$5)*(2-1)/9))</f>
        <v/>
      </c>
      <c r="P76">
        <f>O76*(1+($A76-($A76-Scenarios!$C$5)*(3-1)/9))</f>
        <v/>
      </c>
      <c r="Q76">
        <f>P76*(1+($A76-($A76-Scenarios!$C$5)*(4-1)/9))</f>
        <v/>
      </c>
      <c r="R76">
        <f>Q76*(1+($A76-($A76-Scenarios!$C$5)*(5-1)/9))</f>
        <v/>
      </c>
      <c r="S76">
        <f>R76*(1+($A76-($A76-Scenarios!$C$5)*(6-1)/9))</f>
        <v/>
      </c>
      <c r="T76">
        <f>S76*(1+($A76-($A76-Scenarios!$C$5)*(7-1)/9))</f>
        <v/>
      </c>
      <c r="U76">
        <f>T76*(1+($A76-($A76-Scenarios!$C$5)*(8-1)/9))</f>
        <v/>
      </c>
      <c r="V76">
        <f>U76*(1+($A76-($A76-Scenarios!$C$5)*(9-1)/9))</f>
        <v/>
      </c>
      <c r="W76">
        <f>V76*(1+($A76-($A76-Scenarios!$C$5)*(10-1)/9))</f>
        <v/>
      </c>
    </row>
    <row r="77">
      <c r="A77" t="n">
        <v>1.525</v>
      </c>
      <c r="B77">
        <f>N77*(Inputs!$B$14+(Scenarios!$C$3-Inputs!$B$14)*MIN(1,5)/5)/(1+Scenarios!$C$4)^1</f>
        <v/>
      </c>
      <c r="C77">
        <f>O77*(Inputs!$B$14+(Scenarios!$C$3-Inputs!$B$14)*MIN(2,5)/5)/(1+Scenarios!$C$4)^2</f>
        <v/>
      </c>
      <c r="D77">
        <f>P77*(Inputs!$B$14+(Scenarios!$C$3-Inputs!$B$14)*MIN(3,5)/5)/(1+Scenarios!$C$4)^3</f>
        <v/>
      </c>
      <c r="E77">
        <f>Q77*(Inputs!$B$14+(Scenarios!$C$3-Inputs!$B$14)*MIN(4,5)/5)/(1+Scenarios!$C$4)^4</f>
        <v/>
      </c>
      <c r="F77">
        <f>R77*(Inputs!$B$14+(Scenarios!$C$3-Inputs!$B$14)*MIN(5,5)/5)/(1+Scenarios!$C$4)^5</f>
        <v/>
      </c>
      <c r="G77">
        <f>S77*(Inputs!$B$14+(Scenarios!$C$3-Inputs!$B$14)*MIN(6,5)/5)/(1+Scenarios!$C$4)^6</f>
        <v/>
      </c>
      <c r="H77">
        <f>T77*(Inputs!$B$14+(Scenarios!$C$3-Inputs!$B$14)*MIN(7,5)/5)/(1+Scenarios!$C$4)^7</f>
        <v/>
      </c>
      <c r="I77">
        <f>U77*(Inputs!$B$14+(Scenarios!$C$3-Inputs!$B$14)*MIN(8,5)/5)/(1+Scenarios!$C$4)^8</f>
        <v/>
      </c>
      <c r="J77">
        <f>V77*(Inputs!$B$14+(Scenarios!$C$3-Inputs!$B$14)*MIN(9,5)/5)/(1+Scenarios!$C$4)^9</f>
        <v/>
      </c>
      <c r="K77">
        <f>W77*(Inputs!$B$14+(Scenarios!$C$3-Inputs!$B$14)*MIN(10,5)/5)/(1+Scenarios!$C$4)^10</f>
        <v/>
      </c>
      <c r="L77">
        <f>W77*(Inputs!$B$14+(Scenarios!$C$3-Inputs!$B$14))*(1+Scenarios!$C$5)/(Scenarios!$C$4-Scenarios!$C$5)/(1+Scenarios!$C$4)^10</f>
        <v/>
      </c>
      <c r="M77">
        <f>(SUM(B77:L77)+Inputs!$B$17)*Inputs!$B$8/Inputs!$B$3*Inputs!$B$2</f>
        <v/>
      </c>
      <c r="N77">
        <f>Inputs!$B$6*(1+($A77-($A77-Scenarios!$C$5)*(1-1)/9))</f>
        <v/>
      </c>
      <c r="O77">
        <f>N77*(1+($A77-($A77-Scenarios!$C$5)*(2-1)/9))</f>
        <v/>
      </c>
      <c r="P77">
        <f>O77*(1+($A77-($A77-Scenarios!$C$5)*(3-1)/9))</f>
        <v/>
      </c>
      <c r="Q77">
        <f>P77*(1+($A77-($A77-Scenarios!$C$5)*(4-1)/9))</f>
        <v/>
      </c>
      <c r="R77">
        <f>Q77*(1+($A77-($A77-Scenarios!$C$5)*(5-1)/9))</f>
        <v/>
      </c>
      <c r="S77">
        <f>R77*(1+($A77-($A77-Scenarios!$C$5)*(6-1)/9))</f>
        <v/>
      </c>
      <c r="T77">
        <f>S77*(1+($A77-($A77-Scenarios!$C$5)*(7-1)/9))</f>
        <v/>
      </c>
      <c r="U77">
        <f>T77*(1+($A77-($A77-Scenarios!$C$5)*(8-1)/9))</f>
        <v/>
      </c>
      <c r="V77">
        <f>U77*(1+($A77-($A77-Scenarios!$C$5)*(9-1)/9))</f>
        <v/>
      </c>
      <c r="W77">
        <f>V77*(1+($A77-($A77-Scenarios!$C$5)*(10-1)/9))</f>
        <v/>
      </c>
    </row>
    <row r="78">
      <c r="A78" t="n">
        <v>1.55</v>
      </c>
      <c r="B78">
        <f>N78*(Inputs!$B$14+(Scenarios!$C$3-Inputs!$B$14)*MIN(1,5)/5)/(1+Scenarios!$C$4)^1</f>
        <v/>
      </c>
      <c r="C78">
        <f>O78*(Inputs!$B$14+(Scenarios!$C$3-Inputs!$B$14)*MIN(2,5)/5)/(1+Scenarios!$C$4)^2</f>
        <v/>
      </c>
      <c r="D78">
        <f>P78*(Inputs!$B$14+(Scenarios!$C$3-Inputs!$B$14)*MIN(3,5)/5)/(1+Scenarios!$C$4)^3</f>
        <v/>
      </c>
      <c r="E78">
        <f>Q78*(Inputs!$B$14+(Scenarios!$C$3-Inputs!$B$14)*MIN(4,5)/5)/(1+Scenarios!$C$4)^4</f>
        <v/>
      </c>
      <c r="F78">
        <f>R78*(Inputs!$B$14+(Scenarios!$C$3-Inputs!$B$14)*MIN(5,5)/5)/(1+Scenarios!$C$4)^5</f>
        <v/>
      </c>
      <c r="G78">
        <f>S78*(Inputs!$B$14+(Scenarios!$C$3-Inputs!$B$14)*MIN(6,5)/5)/(1+Scenarios!$C$4)^6</f>
        <v/>
      </c>
      <c r="H78">
        <f>T78*(Inputs!$B$14+(Scenarios!$C$3-Inputs!$B$14)*MIN(7,5)/5)/(1+Scenarios!$C$4)^7</f>
        <v/>
      </c>
      <c r="I78">
        <f>U78*(Inputs!$B$14+(Scenarios!$C$3-Inputs!$B$14)*MIN(8,5)/5)/(1+Scenarios!$C$4)^8</f>
        <v/>
      </c>
      <c r="J78">
        <f>V78*(Inputs!$B$14+(Scenarios!$C$3-Inputs!$B$14)*MIN(9,5)/5)/(1+Scenarios!$C$4)^9</f>
        <v/>
      </c>
      <c r="K78">
        <f>W78*(Inputs!$B$14+(Scenarios!$C$3-Inputs!$B$14)*MIN(10,5)/5)/(1+Scenarios!$C$4)^10</f>
        <v/>
      </c>
      <c r="L78">
        <f>W78*(Inputs!$B$14+(Scenarios!$C$3-Inputs!$B$14))*(1+Scenarios!$C$5)/(Scenarios!$C$4-Scenarios!$C$5)/(1+Scenarios!$C$4)^10</f>
        <v/>
      </c>
      <c r="M78">
        <f>(SUM(B78:L78)+Inputs!$B$17)*Inputs!$B$8/Inputs!$B$3*Inputs!$B$2</f>
        <v/>
      </c>
      <c r="N78">
        <f>Inputs!$B$6*(1+($A78-($A78-Scenarios!$C$5)*(1-1)/9))</f>
        <v/>
      </c>
      <c r="O78">
        <f>N78*(1+($A78-($A78-Scenarios!$C$5)*(2-1)/9))</f>
        <v/>
      </c>
      <c r="P78">
        <f>O78*(1+($A78-($A78-Scenarios!$C$5)*(3-1)/9))</f>
        <v/>
      </c>
      <c r="Q78">
        <f>P78*(1+($A78-($A78-Scenarios!$C$5)*(4-1)/9))</f>
        <v/>
      </c>
      <c r="R78">
        <f>Q78*(1+($A78-($A78-Scenarios!$C$5)*(5-1)/9))</f>
        <v/>
      </c>
      <c r="S78">
        <f>R78*(1+($A78-($A78-Scenarios!$C$5)*(6-1)/9))</f>
        <v/>
      </c>
      <c r="T78">
        <f>S78*(1+($A78-($A78-Scenarios!$C$5)*(7-1)/9))</f>
        <v/>
      </c>
      <c r="U78">
        <f>T78*(1+($A78-($A78-Scenarios!$C$5)*(8-1)/9))</f>
        <v/>
      </c>
      <c r="V78">
        <f>U78*(1+($A78-($A78-Scenarios!$C$5)*(9-1)/9))</f>
        <v/>
      </c>
      <c r="W78">
        <f>V78*(1+($A78-($A78-Scenarios!$C$5)*(10-1)/9))</f>
        <v/>
      </c>
    </row>
    <row r="79">
      <c r="A79" t="n">
        <v>1.575</v>
      </c>
      <c r="B79">
        <f>N79*(Inputs!$B$14+(Scenarios!$C$3-Inputs!$B$14)*MIN(1,5)/5)/(1+Scenarios!$C$4)^1</f>
        <v/>
      </c>
      <c r="C79">
        <f>O79*(Inputs!$B$14+(Scenarios!$C$3-Inputs!$B$14)*MIN(2,5)/5)/(1+Scenarios!$C$4)^2</f>
        <v/>
      </c>
      <c r="D79">
        <f>P79*(Inputs!$B$14+(Scenarios!$C$3-Inputs!$B$14)*MIN(3,5)/5)/(1+Scenarios!$C$4)^3</f>
        <v/>
      </c>
      <c r="E79">
        <f>Q79*(Inputs!$B$14+(Scenarios!$C$3-Inputs!$B$14)*MIN(4,5)/5)/(1+Scenarios!$C$4)^4</f>
        <v/>
      </c>
      <c r="F79">
        <f>R79*(Inputs!$B$14+(Scenarios!$C$3-Inputs!$B$14)*MIN(5,5)/5)/(1+Scenarios!$C$4)^5</f>
        <v/>
      </c>
      <c r="G79">
        <f>S79*(Inputs!$B$14+(Scenarios!$C$3-Inputs!$B$14)*MIN(6,5)/5)/(1+Scenarios!$C$4)^6</f>
        <v/>
      </c>
      <c r="H79">
        <f>T79*(Inputs!$B$14+(Scenarios!$C$3-Inputs!$B$14)*MIN(7,5)/5)/(1+Scenarios!$C$4)^7</f>
        <v/>
      </c>
      <c r="I79">
        <f>U79*(Inputs!$B$14+(Scenarios!$C$3-Inputs!$B$14)*MIN(8,5)/5)/(1+Scenarios!$C$4)^8</f>
        <v/>
      </c>
      <c r="J79">
        <f>V79*(Inputs!$B$14+(Scenarios!$C$3-Inputs!$B$14)*MIN(9,5)/5)/(1+Scenarios!$C$4)^9</f>
        <v/>
      </c>
      <c r="K79">
        <f>W79*(Inputs!$B$14+(Scenarios!$C$3-Inputs!$B$14)*MIN(10,5)/5)/(1+Scenarios!$C$4)^10</f>
        <v/>
      </c>
      <c r="L79">
        <f>W79*(Inputs!$B$14+(Scenarios!$C$3-Inputs!$B$14))*(1+Scenarios!$C$5)/(Scenarios!$C$4-Scenarios!$C$5)/(1+Scenarios!$C$4)^10</f>
        <v/>
      </c>
      <c r="M79">
        <f>(SUM(B79:L79)+Inputs!$B$17)*Inputs!$B$8/Inputs!$B$3*Inputs!$B$2</f>
        <v/>
      </c>
      <c r="N79">
        <f>Inputs!$B$6*(1+($A79-($A79-Scenarios!$C$5)*(1-1)/9))</f>
        <v/>
      </c>
      <c r="O79">
        <f>N79*(1+($A79-($A79-Scenarios!$C$5)*(2-1)/9))</f>
        <v/>
      </c>
      <c r="P79">
        <f>O79*(1+($A79-($A79-Scenarios!$C$5)*(3-1)/9))</f>
        <v/>
      </c>
      <c r="Q79">
        <f>P79*(1+($A79-($A79-Scenarios!$C$5)*(4-1)/9))</f>
        <v/>
      </c>
      <c r="R79">
        <f>Q79*(1+($A79-($A79-Scenarios!$C$5)*(5-1)/9))</f>
        <v/>
      </c>
      <c r="S79">
        <f>R79*(1+($A79-($A79-Scenarios!$C$5)*(6-1)/9))</f>
        <v/>
      </c>
      <c r="T79">
        <f>S79*(1+($A79-($A79-Scenarios!$C$5)*(7-1)/9))</f>
        <v/>
      </c>
      <c r="U79">
        <f>T79*(1+($A79-($A79-Scenarios!$C$5)*(8-1)/9))</f>
        <v/>
      </c>
      <c r="V79">
        <f>U79*(1+($A79-($A79-Scenarios!$C$5)*(9-1)/9))</f>
        <v/>
      </c>
      <c r="W79">
        <f>V79*(1+($A79-($A79-Scenarios!$C$5)*(10-1)/9))</f>
        <v/>
      </c>
    </row>
    <row r="80">
      <c r="A80" t="n">
        <v>1.6</v>
      </c>
      <c r="B80">
        <f>N80*(Inputs!$B$14+(Scenarios!$C$3-Inputs!$B$14)*MIN(1,5)/5)/(1+Scenarios!$C$4)^1</f>
        <v/>
      </c>
      <c r="C80">
        <f>O80*(Inputs!$B$14+(Scenarios!$C$3-Inputs!$B$14)*MIN(2,5)/5)/(1+Scenarios!$C$4)^2</f>
        <v/>
      </c>
      <c r="D80">
        <f>P80*(Inputs!$B$14+(Scenarios!$C$3-Inputs!$B$14)*MIN(3,5)/5)/(1+Scenarios!$C$4)^3</f>
        <v/>
      </c>
      <c r="E80">
        <f>Q80*(Inputs!$B$14+(Scenarios!$C$3-Inputs!$B$14)*MIN(4,5)/5)/(1+Scenarios!$C$4)^4</f>
        <v/>
      </c>
      <c r="F80">
        <f>R80*(Inputs!$B$14+(Scenarios!$C$3-Inputs!$B$14)*MIN(5,5)/5)/(1+Scenarios!$C$4)^5</f>
        <v/>
      </c>
      <c r="G80">
        <f>S80*(Inputs!$B$14+(Scenarios!$C$3-Inputs!$B$14)*MIN(6,5)/5)/(1+Scenarios!$C$4)^6</f>
        <v/>
      </c>
      <c r="H80">
        <f>T80*(Inputs!$B$14+(Scenarios!$C$3-Inputs!$B$14)*MIN(7,5)/5)/(1+Scenarios!$C$4)^7</f>
        <v/>
      </c>
      <c r="I80">
        <f>U80*(Inputs!$B$14+(Scenarios!$C$3-Inputs!$B$14)*MIN(8,5)/5)/(1+Scenarios!$C$4)^8</f>
        <v/>
      </c>
      <c r="J80">
        <f>V80*(Inputs!$B$14+(Scenarios!$C$3-Inputs!$B$14)*MIN(9,5)/5)/(1+Scenarios!$C$4)^9</f>
        <v/>
      </c>
      <c r="K80">
        <f>W80*(Inputs!$B$14+(Scenarios!$C$3-Inputs!$B$14)*MIN(10,5)/5)/(1+Scenarios!$C$4)^10</f>
        <v/>
      </c>
      <c r="L80">
        <f>W80*(Inputs!$B$14+(Scenarios!$C$3-Inputs!$B$14))*(1+Scenarios!$C$5)/(Scenarios!$C$4-Scenarios!$C$5)/(1+Scenarios!$C$4)^10</f>
        <v/>
      </c>
      <c r="M80">
        <f>(SUM(B80:L80)+Inputs!$B$17)*Inputs!$B$8/Inputs!$B$3*Inputs!$B$2</f>
        <v/>
      </c>
      <c r="N80">
        <f>Inputs!$B$6*(1+($A80-($A80-Scenarios!$C$5)*(1-1)/9))</f>
        <v/>
      </c>
      <c r="O80">
        <f>N80*(1+($A80-($A80-Scenarios!$C$5)*(2-1)/9))</f>
        <v/>
      </c>
      <c r="P80">
        <f>O80*(1+($A80-($A80-Scenarios!$C$5)*(3-1)/9))</f>
        <v/>
      </c>
      <c r="Q80">
        <f>P80*(1+($A80-($A80-Scenarios!$C$5)*(4-1)/9))</f>
        <v/>
      </c>
      <c r="R80">
        <f>Q80*(1+($A80-($A80-Scenarios!$C$5)*(5-1)/9))</f>
        <v/>
      </c>
      <c r="S80">
        <f>R80*(1+($A80-($A80-Scenarios!$C$5)*(6-1)/9))</f>
        <v/>
      </c>
      <c r="T80">
        <f>S80*(1+($A80-($A80-Scenarios!$C$5)*(7-1)/9))</f>
        <v/>
      </c>
      <c r="U80">
        <f>T80*(1+($A80-($A80-Scenarios!$C$5)*(8-1)/9))</f>
        <v/>
      </c>
      <c r="V80">
        <f>U80*(1+($A80-($A80-Scenarios!$C$5)*(9-1)/9))</f>
        <v/>
      </c>
      <c r="W80">
        <f>V80*(1+($A80-($A80-Scenarios!$C$5)*(10-1)/9))</f>
        <v/>
      </c>
    </row>
    <row r="81">
      <c r="A81" t="n">
        <v>1.625</v>
      </c>
      <c r="B81">
        <f>N81*(Inputs!$B$14+(Scenarios!$C$3-Inputs!$B$14)*MIN(1,5)/5)/(1+Scenarios!$C$4)^1</f>
        <v/>
      </c>
      <c r="C81">
        <f>O81*(Inputs!$B$14+(Scenarios!$C$3-Inputs!$B$14)*MIN(2,5)/5)/(1+Scenarios!$C$4)^2</f>
        <v/>
      </c>
      <c r="D81">
        <f>P81*(Inputs!$B$14+(Scenarios!$C$3-Inputs!$B$14)*MIN(3,5)/5)/(1+Scenarios!$C$4)^3</f>
        <v/>
      </c>
      <c r="E81">
        <f>Q81*(Inputs!$B$14+(Scenarios!$C$3-Inputs!$B$14)*MIN(4,5)/5)/(1+Scenarios!$C$4)^4</f>
        <v/>
      </c>
      <c r="F81">
        <f>R81*(Inputs!$B$14+(Scenarios!$C$3-Inputs!$B$14)*MIN(5,5)/5)/(1+Scenarios!$C$4)^5</f>
        <v/>
      </c>
      <c r="G81">
        <f>S81*(Inputs!$B$14+(Scenarios!$C$3-Inputs!$B$14)*MIN(6,5)/5)/(1+Scenarios!$C$4)^6</f>
        <v/>
      </c>
      <c r="H81">
        <f>T81*(Inputs!$B$14+(Scenarios!$C$3-Inputs!$B$14)*MIN(7,5)/5)/(1+Scenarios!$C$4)^7</f>
        <v/>
      </c>
      <c r="I81">
        <f>U81*(Inputs!$B$14+(Scenarios!$C$3-Inputs!$B$14)*MIN(8,5)/5)/(1+Scenarios!$C$4)^8</f>
        <v/>
      </c>
      <c r="J81">
        <f>V81*(Inputs!$B$14+(Scenarios!$C$3-Inputs!$B$14)*MIN(9,5)/5)/(1+Scenarios!$C$4)^9</f>
        <v/>
      </c>
      <c r="K81">
        <f>W81*(Inputs!$B$14+(Scenarios!$C$3-Inputs!$B$14)*MIN(10,5)/5)/(1+Scenarios!$C$4)^10</f>
        <v/>
      </c>
      <c r="L81">
        <f>W81*(Inputs!$B$14+(Scenarios!$C$3-Inputs!$B$14))*(1+Scenarios!$C$5)/(Scenarios!$C$4-Scenarios!$C$5)/(1+Scenarios!$C$4)^10</f>
        <v/>
      </c>
      <c r="M81">
        <f>(SUM(B81:L81)+Inputs!$B$17)*Inputs!$B$8/Inputs!$B$3*Inputs!$B$2</f>
        <v/>
      </c>
      <c r="N81">
        <f>Inputs!$B$6*(1+($A81-($A81-Scenarios!$C$5)*(1-1)/9))</f>
        <v/>
      </c>
      <c r="O81">
        <f>N81*(1+($A81-($A81-Scenarios!$C$5)*(2-1)/9))</f>
        <v/>
      </c>
      <c r="P81">
        <f>O81*(1+($A81-($A81-Scenarios!$C$5)*(3-1)/9))</f>
        <v/>
      </c>
      <c r="Q81">
        <f>P81*(1+($A81-($A81-Scenarios!$C$5)*(4-1)/9))</f>
        <v/>
      </c>
      <c r="R81">
        <f>Q81*(1+($A81-($A81-Scenarios!$C$5)*(5-1)/9))</f>
        <v/>
      </c>
      <c r="S81">
        <f>R81*(1+($A81-($A81-Scenarios!$C$5)*(6-1)/9))</f>
        <v/>
      </c>
      <c r="T81">
        <f>S81*(1+($A81-($A81-Scenarios!$C$5)*(7-1)/9))</f>
        <v/>
      </c>
      <c r="U81">
        <f>T81*(1+($A81-($A81-Scenarios!$C$5)*(8-1)/9))</f>
        <v/>
      </c>
      <c r="V81">
        <f>U81*(1+($A81-($A81-Scenarios!$C$5)*(9-1)/9))</f>
        <v/>
      </c>
      <c r="W81">
        <f>V81*(1+($A81-($A81-Scenarios!$C$5)*(10-1)/9))</f>
        <v/>
      </c>
    </row>
    <row r="82">
      <c r="A82" t="n">
        <v>1.65</v>
      </c>
      <c r="B82">
        <f>N82*(Inputs!$B$14+(Scenarios!$C$3-Inputs!$B$14)*MIN(1,5)/5)/(1+Scenarios!$C$4)^1</f>
        <v/>
      </c>
      <c r="C82">
        <f>O82*(Inputs!$B$14+(Scenarios!$C$3-Inputs!$B$14)*MIN(2,5)/5)/(1+Scenarios!$C$4)^2</f>
        <v/>
      </c>
      <c r="D82">
        <f>P82*(Inputs!$B$14+(Scenarios!$C$3-Inputs!$B$14)*MIN(3,5)/5)/(1+Scenarios!$C$4)^3</f>
        <v/>
      </c>
      <c r="E82">
        <f>Q82*(Inputs!$B$14+(Scenarios!$C$3-Inputs!$B$14)*MIN(4,5)/5)/(1+Scenarios!$C$4)^4</f>
        <v/>
      </c>
      <c r="F82">
        <f>R82*(Inputs!$B$14+(Scenarios!$C$3-Inputs!$B$14)*MIN(5,5)/5)/(1+Scenarios!$C$4)^5</f>
        <v/>
      </c>
      <c r="G82">
        <f>S82*(Inputs!$B$14+(Scenarios!$C$3-Inputs!$B$14)*MIN(6,5)/5)/(1+Scenarios!$C$4)^6</f>
        <v/>
      </c>
      <c r="H82">
        <f>T82*(Inputs!$B$14+(Scenarios!$C$3-Inputs!$B$14)*MIN(7,5)/5)/(1+Scenarios!$C$4)^7</f>
        <v/>
      </c>
      <c r="I82">
        <f>U82*(Inputs!$B$14+(Scenarios!$C$3-Inputs!$B$14)*MIN(8,5)/5)/(1+Scenarios!$C$4)^8</f>
        <v/>
      </c>
      <c r="J82">
        <f>V82*(Inputs!$B$14+(Scenarios!$C$3-Inputs!$B$14)*MIN(9,5)/5)/(1+Scenarios!$C$4)^9</f>
        <v/>
      </c>
      <c r="K82">
        <f>W82*(Inputs!$B$14+(Scenarios!$C$3-Inputs!$B$14)*MIN(10,5)/5)/(1+Scenarios!$C$4)^10</f>
        <v/>
      </c>
      <c r="L82">
        <f>W82*(Inputs!$B$14+(Scenarios!$C$3-Inputs!$B$14))*(1+Scenarios!$C$5)/(Scenarios!$C$4-Scenarios!$C$5)/(1+Scenarios!$C$4)^10</f>
        <v/>
      </c>
      <c r="M82">
        <f>(SUM(B82:L82)+Inputs!$B$17)*Inputs!$B$8/Inputs!$B$3*Inputs!$B$2</f>
        <v/>
      </c>
      <c r="N82">
        <f>Inputs!$B$6*(1+($A82-($A82-Scenarios!$C$5)*(1-1)/9))</f>
        <v/>
      </c>
      <c r="O82">
        <f>N82*(1+($A82-($A82-Scenarios!$C$5)*(2-1)/9))</f>
        <v/>
      </c>
      <c r="P82">
        <f>O82*(1+($A82-($A82-Scenarios!$C$5)*(3-1)/9))</f>
        <v/>
      </c>
      <c r="Q82">
        <f>P82*(1+($A82-($A82-Scenarios!$C$5)*(4-1)/9))</f>
        <v/>
      </c>
      <c r="R82">
        <f>Q82*(1+($A82-($A82-Scenarios!$C$5)*(5-1)/9))</f>
        <v/>
      </c>
      <c r="S82">
        <f>R82*(1+($A82-($A82-Scenarios!$C$5)*(6-1)/9))</f>
        <v/>
      </c>
      <c r="T82">
        <f>S82*(1+($A82-($A82-Scenarios!$C$5)*(7-1)/9))</f>
        <v/>
      </c>
      <c r="U82">
        <f>T82*(1+($A82-($A82-Scenarios!$C$5)*(8-1)/9))</f>
        <v/>
      </c>
      <c r="V82">
        <f>U82*(1+($A82-($A82-Scenarios!$C$5)*(9-1)/9))</f>
        <v/>
      </c>
      <c r="W82">
        <f>V82*(1+($A82-($A82-Scenarios!$C$5)*(10-1)/9))</f>
        <v/>
      </c>
    </row>
    <row r="83">
      <c r="A83" t="n">
        <v>1.675</v>
      </c>
      <c r="B83">
        <f>N83*(Inputs!$B$14+(Scenarios!$C$3-Inputs!$B$14)*MIN(1,5)/5)/(1+Scenarios!$C$4)^1</f>
        <v/>
      </c>
      <c r="C83">
        <f>O83*(Inputs!$B$14+(Scenarios!$C$3-Inputs!$B$14)*MIN(2,5)/5)/(1+Scenarios!$C$4)^2</f>
        <v/>
      </c>
      <c r="D83">
        <f>P83*(Inputs!$B$14+(Scenarios!$C$3-Inputs!$B$14)*MIN(3,5)/5)/(1+Scenarios!$C$4)^3</f>
        <v/>
      </c>
      <c r="E83">
        <f>Q83*(Inputs!$B$14+(Scenarios!$C$3-Inputs!$B$14)*MIN(4,5)/5)/(1+Scenarios!$C$4)^4</f>
        <v/>
      </c>
      <c r="F83">
        <f>R83*(Inputs!$B$14+(Scenarios!$C$3-Inputs!$B$14)*MIN(5,5)/5)/(1+Scenarios!$C$4)^5</f>
        <v/>
      </c>
      <c r="G83">
        <f>S83*(Inputs!$B$14+(Scenarios!$C$3-Inputs!$B$14)*MIN(6,5)/5)/(1+Scenarios!$C$4)^6</f>
        <v/>
      </c>
      <c r="H83">
        <f>T83*(Inputs!$B$14+(Scenarios!$C$3-Inputs!$B$14)*MIN(7,5)/5)/(1+Scenarios!$C$4)^7</f>
        <v/>
      </c>
      <c r="I83">
        <f>U83*(Inputs!$B$14+(Scenarios!$C$3-Inputs!$B$14)*MIN(8,5)/5)/(1+Scenarios!$C$4)^8</f>
        <v/>
      </c>
      <c r="J83">
        <f>V83*(Inputs!$B$14+(Scenarios!$C$3-Inputs!$B$14)*MIN(9,5)/5)/(1+Scenarios!$C$4)^9</f>
        <v/>
      </c>
      <c r="K83">
        <f>W83*(Inputs!$B$14+(Scenarios!$C$3-Inputs!$B$14)*MIN(10,5)/5)/(1+Scenarios!$C$4)^10</f>
        <v/>
      </c>
      <c r="L83">
        <f>W83*(Inputs!$B$14+(Scenarios!$C$3-Inputs!$B$14))*(1+Scenarios!$C$5)/(Scenarios!$C$4-Scenarios!$C$5)/(1+Scenarios!$C$4)^10</f>
        <v/>
      </c>
      <c r="M83">
        <f>(SUM(B83:L83)+Inputs!$B$17)*Inputs!$B$8/Inputs!$B$3*Inputs!$B$2</f>
        <v/>
      </c>
      <c r="N83">
        <f>Inputs!$B$6*(1+($A83-($A83-Scenarios!$C$5)*(1-1)/9))</f>
        <v/>
      </c>
      <c r="O83">
        <f>N83*(1+($A83-($A83-Scenarios!$C$5)*(2-1)/9))</f>
        <v/>
      </c>
      <c r="P83">
        <f>O83*(1+($A83-($A83-Scenarios!$C$5)*(3-1)/9))</f>
        <v/>
      </c>
      <c r="Q83">
        <f>P83*(1+($A83-($A83-Scenarios!$C$5)*(4-1)/9))</f>
        <v/>
      </c>
      <c r="R83">
        <f>Q83*(1+($A83-($A83-Scenarios!$C$5)*(5-1)/9))</f>
        <v/>
      </c>
      <c r="S83">
        <f>R83*(1+($A83-($A83-Scenarios!$C$5)*(6-1)/9))</f>
        <v/>
      </c>
      <c r="T83">
        <f>S83*(1+($A83-($A83-Scenarios!$C$5)*(7-1)/9))</f>
        <v/>
      </c>
      <c r="U83">
        <f>T83*(1+($A83-($A83-Scenarios!$C$5)*(8-1)/9))</f>
        <v/>
      </c>
      <c r="V83">
        <f>U83*(1+($A83-($A83-Scenarios!$C$5)*(9-1)/9))</f>
        <v/>
      </c>
      <c r="W83">
        <f>V83*(1+($A83-($A83-Scenarios!$C$5)*(10-1)/9))</f>
        <v/>
      </c>
    </row>
    <row r="84">
      <c r="A84" t="n">
        <v>1.7</v>
      </c>
      <c r="B84">
        <f>N84*(Inputs!$B$14+(Scenarios!$C$3-Inputs!$B$14)*MIN(1,5)/5)/(1+Scenarios!$C$4)^1</f>
        <v/>
      </c>
      <c r="C84">
        <f>O84*(Inputs!$B$14+(Scenarios!$C$3-Inputs!$B$14)*MIN(2,5)/5)/(1+Scenarios!$C$4)^2</f>
        <v/>
      </c>
      <c r="D84">
        <f>P84*(Inputs!$B$14+(Scenarios!$C$3-Inputs!$B$14)*MIN(3,5)/5)/(1+Scenarios!$C$4)^3</f>
        <v/>
      </c>
      <c r="E84">
        <f>Q84*(Inputs!$B$14+(Scenarios!$C$3-Inputs!$B$14)*MIN(4,5)/5)/(1+Scenarios!$C$4)^4</f>
        <v/>
      </c>
      <c r="F84">
        <f>R84*(Inputs!$B$14+(Scenarios!$C$3-Inputs!$B$14)*MIN(5,5)/5)/(1+Scenarios!$C$4)^5</f>
        <v/>
      </c>
      <c r="G84">
        <f>S84*(Inputs!$B$14+(Scenarios!$C$3-Inputs!$B$14)*MIN(6,5)/5)/(1+Scenarios!$C$4)^6</f>
        <v/>
      </c>
      <c r="H84">
        <f>T84*(Inputs!$B$14+(Scenarios!$C$3-Inputs!$B$14)*MIN(7,5)/5)/(1+Scenarios!$C$4)^7</f>
        <v/>
      </c>
      <c r="I84">
        <f>U84*(Inputs!$B$14+(Scenarios!$C$3-Inputs!$B$14)*MIN(8,5)/5)/(1+Scenarios!$C$4)^8</f>
        <v/>
      </c>
      <c r="J84">
        <f>V84*(Inputs!$B$14+(Scenarios!$C$3-Inputs!$B$14)*MIN(9,5)/5)/(1+Scenarios!$C$4)^9</f>
        <v/>
      </c>
      <c r="K84">
        <f>W84*(Inputs!$B$14+(Scenarios!$C$3-Inputs!$B$14)*MIN(10,5)/5)/(1+Scenarios!$C$4)^10</f>
        <v/>
      </c>
      <c r="L84">
        <f>W84*(Inputs!$B$14+(Scenarios!$C$3-Inputs!$B$14))*(1+Scenarios!$C$5)/(Scenarios!$C$4-Scenarios!$C$5)/(1+Scenarios!$C$4)^10</f>
        <v/>
      </c>
      <c r="M84">
        <f>(SUM(B84:L84)+Inputs!$B$17)*Inputs!$B$8/Inputs!$B$3*Inputs!$B$2</f>
        <v/>
      </c>
      <c r="N84">
        <f>Inputs!$B$6*(1+($A84-($A84-Scenarios!$C$5)*(1-1)/9))</f>
        <v/>
      </c>
      <c r="O84">
        <f>N84*(1+($A84-($A84-Scenarios!$C$5)*(2-1)/9))</f>
        <v/>
      </c>
      <c r="P84">
        <f>O84*(1+($A84-($A84-Scenarios!$C$5)*(3-1)/9))</f>
        <v/>
      </c>
      <c r="Q84">
        <f>P84*(1+($A84-($A84-Scenarios!$C$5)*(4-1)/9))</f>
        <v/>
      </c>
      <c r="R84">
        <f>Q84*(1+($A84-($A84-Scenarios!$C$5)*(5-1)/9))</f>
        <v/>
      </c>
      <c r="S84">
        <f>R84*(1+($A84-($A84-Scenarios!$C$5)*(6-1)/9))</f>
        <v/>
      </c>
      <c r="T84">
        <f>S84*(1+($A84-($A84-Scenarios!$C$5)*(7-1)/9))</f>
        <v/>
      </c>
      <c r="U84">
        <f>T84*(1+($A84-($A84-Scenarios!$C$5)*(8-1)/9))</f>
        <v/>
      </c>
      <c r="V84">
        <f>U84*(1+($A84-($A84-Scenarios!$C$5)*(9-1)/9))</f>
        <v/>
      </c>
      <c r="W84">
        <f>V84*(1+($A84-($A84-Scenarios!$C$5)*(10-1)/9))</f>
        <v/>
      </c>
    </row>
    <row r="85">
      <c r="A85" t="n">
        <v>1.725</v>
      </c>
      <c r="B85">
        <f>N85*(Inputs!$B$14+(Scenarios!$C$3-Inputs!$B$14)*MIN(1,5)/5)/(1+Scenarios!$C$4)^1</f>
        <v/>
      </c>
      <c r="C85">
        <f>O85*(Inputs!$B$14+(Scenarios!$C$3-Inputs!$B$14)*MIN(2,5)/5)/(1+Scenarios!$C$4)^2</f>
        <v/>
      </c>
      <c r="D85">
        <f>P85*(Inputs!$B$14+(Scenarios!$C$3-Inputs!$B$14)*MIN(3,5)/5)/(1+Scenarios!$C$4)^3</f>
        <v/>
      </c>
      <c r="E85">
        <f>Q85*(Inputs!$B$14+(Scenarios!$C$3-Inputs!$B$14)*MIN(4,5)/5)/(1+Scenarios!$C$4)^4</f>
        <v/>
      </c>
      <c r="F85">
        <f>R85*(Inputs!$B$14+(Scenarios!$C$3-Inputs!$B$14)*MIN(5,5)/5)/(1+Scenarios!$C$4)^5</f>
        <v/>
      </c>
      <c r="G85">
        <f>S85*(Inputs!$B$14+(Scenarios!$C$3-Inputs!$B$14)*MIN(6,5)/5)/(1+Scenarios!$C$4)^6</f>
        <v/>
      </c>
      <c r="H85">
        <f>T85*(Inputs!$B$14+(Scenarios!$C$3-Inputs!$B$14)*MIN(7,5)/5)/(1+Scenarios!$C$4)^7</f>
        <v/>
      </c>
      <c r="I85">
        <f>U85*(Inputs!$B$14+(Scenarios!$C$3-Inputs!$B$14)*MIN(8,5)/5)/(1+Scenarios!$C$4)^8</f>
        <v/>
      </c>
      <c r="J85">
        <f>V85*(Inputs!$B$14+(Scenarios!$C$3-Inputs!$B$14)*MIN(9,5)/5)/(1+Scenarios!$C$4)^9</f>
        <v/>
      </c>
      <c r="K85">
        <f>W85*(Inputs!$B$14+(Scenarios!$C$3-Inputs!$B$14)*MIN(10,5)/5)/(1+Scenarios!$C$4)^10</f>
        <v/>
      </c>
      <c r="L85">
        <f>W85*(Inputs!$B$14+(Scenarios!$C$3-Inputs!$B$14))*(1+Scenarios!$C$5)/(Scenarios!$C$4-Scenarios!$C$5)/(1+Scenarios!$C$4)^10</f>
        <v/>
      </c>
      <c r="M85">
        <f>(SUM(B85:L85)+Inputs!$B$17)*Inputs!$B$8/Inputs!$B$3*Inputs!$B$2</f>
        <v/>
      </c>
      <c r="N85">
        <f>Inputs!$B$6*(1+($A85-($A85-Scenarios!$C$5)*(1-1)/9))</f>
        <v/>
      </c>
      <c r="O85">
        <f>N85*(1+($A85-($A85-Scenarios!$C$5)*(2-1)/9))</f>
        <v/>
      </c>
      <c r="P85">
        <f>O85*(1+($A85-($A85-Scenarios!$C$5)*(3-1)/9))</f>
        <v/>
      </c>
      <c r="Q85">
        <f>P85*(1+($A85-($A85-Scenarios!$C$5)*(4-1)/9))</f>
        <v/>
      </c>
      <c r="R85">
        <f>Q85*(1+($A85-($A85-Scenarios!$C$5)*(5-1)/9))</f>
        <v/>
      </c>
      <c r="S85">
        <f>R85*(1+($A85-($A85-Scenarios!$C$5)*(6-1)/9))</f>
        <v/>
      </c>
      <c r="T85">
        <f>S85*(1+($A85-($A85-Scenarios!$C$5)*(7-1)/9))</f>
        <v/>
      </c>
      <c r="U85">
        <f>T85*(1+($A85-($A85-Scenarios!$C$5)*(8-1)/9))</f>
        <v/>
      </c>
      <c r="V85">
        <f>U85*(1+($A85-($A85-Scenarios!$C$5)*(9-1)/9))</f>
        <v/>
      </c>
      <c r="W85">
        <f>V85*(1+($A85-($A85-Scenarios!$C$5)*(10-1)/9))</f>
        <v/>
      </c>
    </row>
    <row r="86">
      <c r="A86" t="n">
        <v>1.75</v>
      </c>
      <c r="B86">
        <f>N86*(Inputs!$B$14+(Scenarios!$C$3-Inputs!$B$14)*MIN(1,5)/5)/(1+Scenarios!$C$4)^1</f>
        <v/>
      </c>
      <c r="C86">
        <f>O86*(Inputs!$B$14+(Scenarios!$C$3-Inputs!$B$14)*MIN(2,5)/5)/(1+Scenarios!$C$4)^2</f>
        <v/>
      </c>
      <c r="D86">
        <f>P86*(Inputs!$B$14+(Scenarios!$C$3-Inputs!$B$14)*MIN(3,5)/5)/(1+Scenarios!$C$4)^3</f>
        <v/>
      </c>
      <c r="E86">
        <f>Q86*(Inputs!$B$14+(Scenarios!$C$3-Inputs!$B$14)*MIN(4,5)/5)/(1+Scenarios!$C$4)^4</f>
        <v/>
      </c>
      <c r="F86">
        <f>R86*(Inputs!$B$14+(Scenarios!$C$3-Inputs!$B$14)*MIN(5,5)/5)/(1+Scenarios!$C$4)^5</f>
        <v/>
      </c>
      <c r="G86">
        <f>S86*(Inputs!$B$14+(Scenarios!$C$3-Inputs!$B$14)*MIN(6,5)/5)/(1+Scenarios!$C$4)^6</f>
        <v/>
      </c>
      <c r="H86">
        <f>T86*(Inputs!$B$14+(Scenarios!$C$3-Inputs!$B$14)*MIN(7,5)/5)/(1+Scenarios!$C$4)^7</f>
        <v/>
      </c>
      <c r="I86">
        <f>U86*(Inputs!$B$14+(Scenarios!$C$3-Inputs!$B$14)*MIN(8,5)/5)/(1+Scenarios!$C$4)^8</f>
        <v/>
      </c>
      <c r="J86">
        <f>V86*(Inputs!$B$14+(Scenarios!$C$3-Inputs!$B$14)*MIN(9,5)/5)/(1+Scenarios!$C$4)^9</f>
        <v/>
      </c>
      <c r="K86">
        <f>W86*(Inputs!$B$14+(Scenarios!$C$3-Inputs!$B$14)*MIN(10,5)/5)/(1+Scenarios!$C$4)^10</f>
        <v/>
      </c>
      <c r="L86">
        <f>W86*(Inputs!$B$14+(Scenarios!$C$3-Inputs!$B$14))*(1+Scenarios!$C$5)/(Scenarios!$C$4-Scenarios!$C$5)/(1+Scenarios!$C$4)^10</f>
        <v/>
      </c>
      <c r="M86">
        <f>(SUM(B86:L86)+Inputs!$B$17)*Inputs!$B$8/Inputs!$B$3*Inputs!$B$2</f>
        <v/>
      </c>
      <c r="N86">
        <f>Inputs!$B$6*(1+($A86-($A86-Scenarios!$C$5)*(1-1)/9))</f>
        <v/>
      </c>
      <c r="O86">
        <f>N86*(1+($A86-($A86-Scenarios!$C$5)*(2-1)/9))</f>
        <v/>
      </c>
      <c r="P86">
        <f>O86*(1+($A86-($A86-Scenarios!$C$5)*(3-1)/9))</f>
        <v/>
      </c>
      <c r="Q86">
        <f>P86*(1+($A86-($A86-Scenarios!$C$5)*(4-1)/9))</f>
        <v/>
      </c>
      <c r="R86">
        <f>Q86*(1+($A86-($A86-Scenarios!$C$5)*(5-1)/9))</f>
        <v/>
      </c>
      <c r="S86">
        <f>R86*(1+($A86-($A86-Scenarios!$C$5)*(6-1)/9))</f>
        <v/>
      </c>
      <c r="T86">
        <f>S86*(1+($A86-($A86-Scenarios!$C$5)*(7-1)/9))</f>
        <v/>
      </c>
      <c r="U86">
        <f>T86*(1+($A86-($A86-Scenarios!$C$5)*(8-1)/9))</f>
        <v/>
      </c>
      <c r="V86">
        <f>U86*(1+($A86-($A86-Scenarios!$C$5)*(9-1)/9))</f>
        <v/>
      </c>
      <c r="W86">
        <f>V86*(1+($A86-($A86-Scenarios!$C$5)*(10-1)/9))</f>
        <v/>
      </c>
    </row>
    <row r="87">
      <c r="A87" t="n">
        <v>1.775</v>
      </c>
      <c r="B87">
        <f>N87*(Inputs!$B$14+(Scenarios!$C$3-Inputs!$B$14)*MIN(1,5)/5)/(1+Scenarios!$C$4)^1</f>
        <v/>
      </c>
      <c r="C87">
        <f>O87*(Inputs!$B$14+(Scenarios!$C$3-Inputs!$B$14)*MIN(2,5)/5)/(1+Scenarios!$C$4)^2</f>
        <v/>
      </c>
      <c r="D87">
        <f>P87*(Inputs!$B$14+(Scenarios!$C$3-Inputs!$B$14)*MIN(3,5)/5)/(1+Scenarios!$C$4)^3</f>
        <v/>
      </c>
      <c r="E87">
        <f>Q87*(Inputs!$B$14+(Scenarios!$C$3-Inputs!$B$14)*MIN(4,5)/5)/(1+Scenarios!$C$4)^4</f>
        <v/>
      </c>
      <c r="F87">
        <f>R87*(Inputs!$B$14+(Scenarios!$C$3-Inputs!$B$14)*MIN(5,5)/5)/(1+Scenarios!$C$4)^5</f>
        <v/>
      </c>
      <c r="G87">
        <f>S87*(Inputs!$B$14+(Scenarios!$C$3-Inputs!$B$14)*MIN(6,5)/5)/(1+Scenarios!$C$4)^6</f>
        <v/>
      </c>
      <c r="H87">
        <f>T87*(Inputs!$B$14+(Scenarios!$C$3-Inputs!$B$14)*MIN(7,5)/5)/(1+Scenarios!$C$4)^7</f>
        <v/>
      </c>
      <c r="I87">
        <f>U87*(Inputs!$B$14+(Scenarios!$C$3-Inputs!$B$14)*MIN(8,5)/5)/(1+Scenarios!$C$4)^8</f>
        <v/>
      </c>
      <c r="J87">
        <f>V87*(Inputs!$B$14+(Scenarios!$C$3-Inputs!$B$14)*MIN(9,5)/5)/(1+Scenarios!$C$4)^9</f>
        <v/>
      </c>
      <c r="K87">
        <f>W87*(Inputs!$B$14+(Scenarios!$C$3-Inputs!$B$14)*MIN(10,5)/5)/(1+Scenarios!$C$4)^10</f>
        <v/>
      </c>
      <c r="L87">
        <f>W87*(Inputs!$B$14+(Scenarios!$C$3-Inputs!$B$14))*(1+Scenarios!$C$5)/(Scenarios!$C$4-Scenarios!$C$5)/(1+Scenarios!$C$4)^10</f>
        <v/>
      </c>
      <c r="M87">
        <f>(SUM(B87:L87)+Inputs!$B$17)*Inputs!$B$8/Inputs!$B$3*Inputs!$B$2</f>
        <v/>
      </c>
      <c r="N87">
        <f>Inputs!$B$6*(1+($A87-($A87-Scenarios!$C$5)*(1-1)/9))</f>
        <v/>
      </c>
      <c r="O87">
        <f>N87*(1+($A87-($A87-Scenarios!$C$5)*(2-1)/9))</f>
        <v/>
      </c>
      <c r="P87">
        <f>O87*(1+($A87-($A87-Scenarios!$C$5)*(3-1)/9))</f>
        <v/>
      </c>
      <c r="Q87">
        <f>P87*(1+($A87-($A87-Scenarios!$C$5)*(4-1)/9))</f>
        <v/>
      </c>
      <c r="R87">
        <f>Q87*(1+($A87-($A87-Scenarios!$C$5)*(5-1)/9))</f>
        <v/>
      </c>
      <c r="S87">
        <f>R87*(1+($A87-($A87-Scenarios!$C$5)*(6-1)/9))</f>
        <v/>
      </c>
      <c r="T87">
        <f>S87*(1+($A87-($A87-Scenarios!$C$5)*(7-1)/9))</f>
        <v/>
      </c>
      <c r="U87">
        <f>T87*(1+($A87-($A87-Scenarios!$C$5)*(8-1)/9))</f>
        <v/>
      </c>
      <c r="V87">
        <f>U87*(1+($A87-($A87-Scenarios!$C$5)*(9-1)/9))</f>
        <v/>
      </c>
      <c r="W87">
        <f>V87*(1+($A87-($A87-Scenarios!$C$5)*(10-1)/9))</f>
        <v/>
      </c>
    </row>
    <row r="88">
      <c r="A88" t="n">
        <v>1.8</v>
      </c>
      <c r="B88">
        <f>N88*(Inputs!$B$14+(Scenarios!$C$3-Inputs!$B$14)*MIN(1,5)/5)/(1+Scenarios!$C$4)^1</f>
        <v/>
      </c>
      <c r="C88">
        <f>O88*(Inputs!$B$14+(Scenarios!$C$3-Inputs!$B$14)*MIN(2,5)/5)/(1+Scenarios!$C$4)^2</f>
        <v/>
      </c>
      <c r="D88">
        <f>P88*(Inputs!$B$14+(Scenarios!$C$3-Inputs!$B$14)*MIN(3,5)/5)/(1+Scenarios!$C$4)^3</f>
        <v/>
      </c>
      <c r="E88">
        <f>Q88*(Inputs!$B$14+(Scenarios!$C$3-Inputs!$B$14)*MIN(4,5)/5)/(1+Scenarios!$C$4)^4</f>
        <v/>
      </c>
      <c r="F88">
        <f>R88*(Inputs!$B$14+(Scenarios!$C$3-Inputs!$B$14)*MIN(5,5)/5)/(1+Scenarios!$C$4)^5</f>
        <v/>
      </c>
      <c r="G88">
        <f>S88*(Inputs!$B$14+(Scenarios!$C$3-Inputs!$B$14)*MIN(6,5)/5)/(1+Scenarios!$C$4)^6</f>
        <v/>
      </c>
      <c r="H88">
        <f>T88*(Inputs!$B$14+(Scenarios!$C$3-Inputs!$B$14)*MIN(7,5)/5)/(1+Scenarios!$C$4)^7</f>
        <v/>
      </c>
      <c r="I88">
        <f>U88*(Inputs!$B$14+(Scenarios!$C$3-Inputs!$B$14)*MIN(8,5)/5)/(1+Scenarios!$C$4)^8</f>
        <v/>
      </c>
      <c r="J88">
        <f>V88*(Inputs!$B$14+(Scenarios!$C$3-Inputs!$B$14)*MIN(9,5)/5)/(1+Scenarios!$C$4)^9</f>
        <v/>
      </c>
      <c r="K88">
        <f>W88*(Inputs!$B$14+(Scenarios!$C$3-Inputs!$B$14)*MIN(10,5)/5)/(1+Scenarios!$C$4)^10</f>
        <v/>
      </c>
      <c r="L88">
        <f>W88*(Inputs!$B$14+(Scenarios!$C$3-Inputs!$B$14))*(1+Scenarios!$C$5)/(Scenarios!$C$4-Scenarios!$C$5)/(1+Scenarios!$C$4)^10</f>
        <v/>
      </c>
      <c r="M88">
        <f>(SUM(B88:L88)+Inputs!$B$17)*Inputs!$B$8/Inputs!$B$3*Inputs!$B$2</f>
        <v/>
      </c>
      <c r="N88">
        <f>Inputs!$B$6*(1+($A88-($A88-Scenarios!$C$5)*(1-1)/9))</f>
        <v/>
      </c>
      <c r="O88">
        <f>N88*(1+($A88-($A88-Scenarios!$C$5)*(2-1)/9))</f>
        <v/>
      </c>
      <c r="P88">
        <f>O88*(1+($A88-($A88-Scenarios!$C$5)*(3-1)/9))</f>
        <v/>
      </c>
      <c r="Q88">
        <f>P88*(1+($A88-($A88-Scenarios!$C$5)*(4-1)/9))</f>
        <v/>
      </c>
      <c r="R88">
        <f>Q88*(1+($A88-($A88-Scenarios!$C$5)*(5-1)/9))</f>
        <v/>
      </c>
      <c r="S88">
        <f>R88*(1+($A88-($A88-Scenarios!$C$5)*(6-1)/9))</f>
        <v/>
      </c>
      <c r="T88">
        <f>S88*(1+($A88-($A88-Scenarios!$C$5)*(7-1)/9))</f>
        <v/>
      </c>
      <c r="U88">
        <f>T88*(1+($A88-($A88-Scenarios!$C$5)*(8-1)/9))</f>
        <v/>
      </c>
      <c r="V88">
        <f>U88*(1+($A88-($A88-Scenarios!$C$5)*(9-1)/9))</f>
        <v/>
      </c>
      <c r="W88">
        <f>V88*(1+($A88-($A88-Scenarios!$C$5)*(10-1)/9))</f>
        <v/>
      </c>
    </row>
    <row r="89">
      <c r="A89" t="n">
        <v>1.825</v>
      </c>
      <c r="B89">
        <f>N89*(Inputs!$B$14+(Scenarios!$C$3-Inputs!$B$14)*MIN(1,5)/5)/(1+Scenarios!$C$4)^1</f>
        <v/>
      </c>
      <c r="C89">
        <f>O89*(Inputs!$B$14+(Scenarios!$C$3-Inputs!$B$14)*MIN(2,5)/5)/(1+Scenarios!$C$4)^2</f>
        <v/>
      </c>
      <c r="D89">
        <f>P89*(Inputs!$B$14+(Scenarios!$C$3-Inputs!$B$14)*MIN(3,5)/5)/(1+Scenarios!$C$4)^3</f>
        <v/>
      </c>
      <c r="E89">
        <f>Q89*(Inputs!$B$14+(Scenarios!$C$3-Inputs!$B$14)*MIN(4,5)/5)/(1+Scenarios!$C$4)^4</f>
        <v/>
      </c>
      <c r="F89">
        <f>R89*(Inputs!$B$14+(Scenarios!$C$3-Inputs!$B$14)*MIN(5,5)/5)/(1+Scenarios!$C$4)^5</f>
        <v/>
      </c>
      <c r="G89">
        <f>S89*(Inputs!$B$14+(Scenarios!$C$3-Inputs!$B$14)*MIN(6,5)/5)/(1+Scenarios!$C$4)^6</f>
        <v/>
      </c>
      <c r="H89">
        <f>T89*(Inputs!$B$14+(Scenarios!$C$3-Inputs!$B$14)*MIN(7,5)/5)/(1+Scenarios!$C$4)^7</f>
        <v/>
      </c>
      <c r="I89">
        <f>U89*(Inputs!$B$14+(Scenarios!$C$3-Inputs!$B$14)*MIN(8,5)/5)/(1+Scenarios!$C$4)^8</f>
        <v/>
      </c>
      <c r="J89">
        <f>V89*(Inputs!$B$14+(Scenarios!$C$3-Inputs!$B$14)*MIN(9,5)/5)/(1+Scenarios!$C$4)^9</f>
        <v/>
      </c>
      <c r="K89">
        <f>W89*(Inputs!$B$14+(Scenarios!$C$3-Inputs!$B$14)*MIN(10,5)/5)/(1+Scenarios!$C$4)^10</f>
        <v/>
      </c>
      <c r="L89">
        <f>W89*(Inputs!$B$14+(Scenarios!$C$3-Inputs!$B$14))*(1+Scenarios!$C$5)/(Scenarios!$C$4-Scenarios!$C$5)/(1+Scenarios!$C$4)^10</f>
        <v/>
      </c>
      <c r="M89">
        <f>(SUM(B89:L89)+Inputs!$B$17)*Inputs!$B$8/Inputs!$B$3*Inputs!$B$2</f>
        <v/>
      </c>
      <c r="N89">
        <f>Inputs!$B$6*(1+($A89-($A89-Scenarios!$C$5)*(1-1)/9))</f>
        <v/>
      </c>
      <c r="O89">
        <f>N89*(1+($A89-($A89-Scenarios!$C$5)*(2-1)/9))</f>
        <v/>
      </c>
      <c r="P89">
        <f>O89*(1+($A89-($A89-Scenarios!$C$5)*(3-1)/9))</f>
        <v/>
      </c>
      <c r="Q89">
        <f>P89*(1+($A89-($A89-Scenarios!$C$5)*(4-1)/9))</f>
        <v/>
      </c>
      <c r="R89">
        <f>Q89*(1+($A89-($A89-Scenarios!$C$5)*(5-1)/9))</f>
        <v/>
      </c>
      <c r="S89">
        <f>R89*(1+($A89-($A89-Scenarios!$C$5)*(6-1)/9))</f>
        <v/>
      </c>
      <c r="T89">
        <f>S89*(1+($A89-($A89-Scenarios!$C$5)*(7-1)/9))</f>
        <v/>
      </c>
      <c r="U89">
        <f>T89*(1+($A89-($A89-Scenarios!$C$5)*(8-1)/9))</f>
        <v/>
      </c>
      <c r="V89">
        <f>U89*(1+($A89-($A89-Scenarios!$C$5)*(9-1)/9))</f>
        <v/>
      </c>
      <c r="W89">
        <f>V89*(1+($A89-($A89-Scenarios!$C$5)*(10-1)/9))</f>
        <v/>
      </c>
    </row>
    <row r="90">
      <c r="A90" t="n">
        <v>1.85</v>
      </c>
      <c r="B90">
        <f>N90*(Inputs!$B$14+(Scenarios!$C$3-Inputs!$B$14)*MIN(1,5)/5)/(1+Scenarios!$C$4)^1</f>
        <v/>
      </c>
      <c r="C90">
        <f>O90*(Inputs!$B$14+(Scenarios!$C$3-Inputs!$B$14)*MIN(2,5)/5)/(1+Scenarios!$C$4)^2</f>
        <v/>
      </c>
      <c r="D90">
        <f>P90*(Inputs!$B$14+(Scenarios!$C$3-Inputs!$B$14)*MIN(3,5)/5)/(1+Scenarios!$C$4)^3</f>
        <v/>
      </c>
      <c r="E90">
        <f>Q90*(Inputs!$B$14+(Scenarios!$C$3-Inputs!$B$14)*MIN(4,5)/5)/(1+Scenarios!$C$4)^4</f>
        <v/>
      </c>
      <c r="F90">
        <f>R90*(Inputs!$B$14+(Scenarios!$C$3-Inputs!$B$14)*MIN(5,5)/5)/(1+Scenarios!$C$4)^5</f>
        <v/>
      </c>
      <c r="G90">
        <f>S90*(Inputs!$B$14+(Scenarios!$C$3-Inputs!$B$14)*MIN(6,5)/5)/(1+Scenarios!$C$4)^6</f>
        <v/>
      </c>
      <c r="H90">
        <f>T90*(Inputs!$B$14+(Scenarios!$C$3-Inputs!$B$14)*MIN(7,5)/5)/(1+Scenarios!$C$4)^7</f>
        <v/>
      </c>
      <c r="I90">
        <f>U90*(Inputs!$B$14+(Scenarios!$C$3-Inputs!$B$14)*MIN(8,5)/5)/(1+Scenarios!$C$4)^8</f>
        <v/>
      </c>
      <c r="J90">
        <f>V90*(Inputs!$B$14+(Scenarios!$C$3-Inputs!$B$14)*MIN(9,5)/5)/(1+Scenarios!$C$4)^9</f>
        <v/>
      </c>
      <c r="K90">
        <f>W90*(Inputs!$B$14+(Scenarios!$C$3-Inputs!$B$14)*MIN(10,5)/5)/(1+Scenarios!$C$4)^10</f>
        <v/>
      </c>
      <c r="L90">
        <f>W90*(Inputs!$B$14+(Scenarios!$C$3-Inputs!$B$14))*(1+Scenarios!$C$5)/(Scenarios!$C$4-Scenarios!$C$5)/(1+Scenarios!$C$4)^10</f>
        <v/>
      </c>
      <c r="M90">
        <f>(SUM(B90:L90)+Inputs!$B$17)*Inputs!$B$8/Inputs!$B$3*Inputs!$B$2</f>
        <v/>
      </c>
      <c r="N90">
        <f>Inputs!$B$6*(1+($A90-($A90-Scenarios!$C$5)*(1-1)/9))</f>
        <v/>
      </c>
      <c r="O90">
        <f>N90*(1+($A90-($A90-Scenarios!$C$5)*(2-1)/9))</f>
        <v/>
      </c>
      <c r="P90">
        <f>O90*(1+($A90-($A90-Scenarios!$C$5)*(3-1)/9))</f>
        <v/>
      </c>
      <c r="Q90">
        <f>P90*(1+($A90-($A90-Scenarios!$C$5)*(4-1)/9))</f>
        <v/>
      </c>
      <c r="R90">
        <f>Q90*(1+($A90-($A90-Scenarios!$C$5)*(5-1)/9))</f>
        <v/>
      </c>
      <c r="S90">
        <f>R90*(1+($A90-($A90-Scenarios!$C$5)*(6-1)/9))</f>
        <v/>
      </c>
      <c r="T90">
        <f>S90*(1+($A90-($A90-Scenarios!$C$5)*(7-1)/9))</f>
        <v/>
      </c>
      <c r="U90">
        <f>T90*(1+($A90-($A90-Scenarios!$C$5)*(8-1)/9))</f>
        <v/>
      </c>
      <c r="V90">
        <f>U90*(1+($A90-($A90-Scenarios!$C$5)*(9-1)/9))</f>
        <v/>
      </c>
      <c r="W90">
        <f>V90*(1+($A90-($A90-Scenarios!$C$5)*(10-1)/9))</f>
        <v/>
      </c>
    </row>
    <row r="91">
      <c r="A91" t="n">
        <v>1.875</v>
      </c>
      <c r="B91">
        <f>N91*(Inputs!$B$14+(Scenarios!$C$3-Inputs!$B$14)*MIN(1,5)/5)/(1+Scenarios!$C$4)^1</f>
        <v/>
      </c>
      <c r="C91">
        <f>O91*(Inputs!$B$14+(Scenarios!$C$3-Inputs!$B$14)*MIN(2,5)/5)/(1+Scenarios!$C$4)^2</f>
        <v/>
      </c>
      <c r="D91">
        <f>P91*(Inputs!$B$14+(Scenarios!$C$3-Inputs!$B$14)*MIN(3,5)/5)/(1+Scenarios!$C$4)^3</f>
        <v/>
      </c>
      <c r="E91">
        <f>Q91*(Inputs!$B$14+(Scenarios!$C$3-Inputs!$B$14)*MIN(4,5)/5)/(1+Scenarios!$C$4)^4</f>
        <v/>
      </c>
      <c r="F91">
        <f>R91*(Inputs!$B$14+(Scenarios!$C$3-Inputs!$B$14)*MIN(5,5)/5)/(1+Scenarios!$C$4)^5</f>
        <v/>
      </c>
      <c r="G91">
        <f>S91*(Inputs!$B$14+(Scenarios!$C$3-Inputs!$B$14)*MIN(6,5)/5)/(1+Scenarios!$C$4)^6</f>
        <v/>
      </c>
      <c r="H91">
        <f>T91*(Inputs!$B$14+(Scenarios!$C$3-Inputs!$B$14)*MIN(7,5)/5)/(1+Scenarios!$C$4)^7</f>
        <v/>
      </c>
      <c r="I91">
        <f>U91*(Inputs!$B$14+(Scenarios!$C$3-Inputs!$B$14)*MIN(8,5)/5)/(1+Scenarios!$C$4)^8</f>
        <v/>
      </c>
      <c r="J91">
        <f>V91*(Inputs!$B$14+(Scenarios!$C$3-Inputs!$B$14)*MIN(9,5)/5)/(1+Scenarios!$C$4)^9</f>
        <v/>
      </c>
      <c r="K91">
        <f>W91*(Inputs!$B$14+(Scenarios!$C$3-Inputs!$B$14)*MIN(10,5)/5)/(1+Scenarios!$C$4)^10</f>
        <v/>
      </c>
      <c r="L91">
        <f>W91*(Inputs!$B$14+(Scenarios!$C$3-Inputs!$B$14))*(1+Scenarios!$C$5)/(Scenarios!$C$4-Scenarios!$C$5)/(1+Scenarios!$C$4)^10</f>
        <v/>
      </c>
      <c r="M91">
        <f>(SUM(B91:L91)+Inputs!$B$17)*Inputs!$B$8/Inputs!$B$3*Inputs!$B$2</f>
        <v/>
      </c>
      <c r="N91">
        <f>Inputs!$B$6*(1+($A91-($A91-Scenarios!$C$5)*(1-1)/9))</f>
        <v/>
      </c>
      <c r="O91">
        <f>N91*(1+($A91-($A91-Scenarios!$C$5)*(2-1)/9))</f>
        <v/>
      </c>
      <c r="P91">
        <f>O91*(1+($A91-($A91-Scenarios!$C$5)*(3-1)/9))</f>
        <v/>
      </c>
      <c r="Q91">
        <f>P91*(1+($A91-($A91-Scenarios!$C$5)*(4-1)/9))</f>
        <v/>
      </c>
      <c r="R91">
        <f>Q91*(1+($A91-($A91-Scenarios!$C$5)*(5-1)/9))</f>
        <v/>
      </c>
      <c r="S91">
        <f>R91*(1+($A91-($A91-Scenarios!$C$5)*(6-1)/9))</f>
        <v/>
      </c>
      <c r="T91">
        <f>S91*(1+($A91-($A91-Scenarios!$C$5)*(7-1)/9))</f>
        <v/>
      </c>
      <c r="U91">
        <f>T91*(1+($A91-($A91-Scenarios!$C$5)*(8-1)/9))</f>
        <v/>
      </c>
      <c r="V91">
        <f>U91*(1+($A91-($A91-Scenarios!$C$5)*(9-1)/9))</f>
        <v/>
      </c>
      <c r="W91">
        <f>V91*(1+($A91-($A91-Scenarios!$C$5)*(10-1)/9))</f>
        <v/>
      </c>
    </row>
    <row r="92">
      <c r="A92" t="n">
        <v>1.9</v>
      </c>
      <c r="B92">
        <f>N92*(Inputs!$B$14+(Scenarios!$C$3-Inputs!$B$14)*MIN(1,5)/5)/(1+Scenarios!$C$4)^1</f>
        <v/>
      </c>
      <c r="C92">
        <f>O92*(Inputs!$B$14+(Scenarios!$C$3-Inputs!$B$14)*MIN(2,5)/5)/(1+Scenarios!$C$4)^2</f>
        <v/>
      </c>
      <c r="D92">
        <f>P92*(Inputs!$B$14+(Scenarios!$C$3-Inputs!$B$14)*MIN(3,5)/5)/(1+Scenarios!$C$4)^3</f>
        <v/>
      </c>
      <c r="E92">
        <f>Q92*(Inputs!$B$14+(Scenarios!$C$3-Inputs!$B$14)*MIN(4,5)/5)/(1+Scenarios!$C$4)^4</f>
        <v/>
      </c>
      <c r="F92">
        <f>R92*(Inputs!$B$14+(Scenarios!$C$3-Inputs!$B$14)*MIN(5,5)/5)/(1+Scenarios!$C$4)^5</f>
        <v/>
      </c>
      <c r="G92">
        <f>S92*(Inputs!$B$14+(Scenarios!$C$3-Inputs!$B$14)*MIN(6,5)/5)/(1+Scenarios!$C$4)^6</f>
        <v/>
      </c>
      <c r="H92">
        <f>T92*(Inputs!$B$14+(Scenarios!$C$3-Inputs!$B$14)*MIN(7,5)/5)/(1+Scenarios!$C$4)^7</f>
        <v/>
      </c>
      <c r="I92">
        <f>U92*(Inputs!$B$14+(Scenarios!$C$3-Inputs!$B$14)*MIN(8,5)/5)/(1+Scenarios!$C$4)^8</f>
        <v/>
      </c>
      <c r="J92">
        <f>V92*(Inputs!$B$14+(Scenarios!$C$3-Inputs!$B$14)*MIN(9,5)/5)/(1+Scenarios!$C$4)^9</f>
        <v/>
      </c>
      <c r="K92">
        <f>W92*(Inputs!$B$14+(Scenarios!$C$3-Inputs!$B$14)*MIN(10,5)/5)/(1+Scenarios!$C$4)^10</f>
        <v/>
      </c>
      <c r="L92">
        <f>W92*(Inputs!$B$14+(Scenarios!$C$3-Inputs!$B$14))*(1+Scenarios!$C$5)/(Scenarios!$C$4-Scenarios!$C$5)/(1+Scenarios!$C$4)^10</f>
        <v/>
      </c>
      <c r="M92">
        <f>(SUM(B92:L92)+Inputs!$B$17)*Inputs!$B$8/Inputs!$B$3*Inputs!$B$2</f>
        <v/>
      </c>
      <c r="N92">
        <f>Inputs!$B$6*(1+($A92-($A92-Scenarios!$C$5)*(1-1)/9))</f>
        <v/>
      </c>
      <c r="O92">
        <f>N92*(1+($A92-($A92-Scenarios!$C$5)*(2-1)/9))</f>
        <v/>
      </c>
      <c r="P92">
        <f>O92*(1+($A92-($A92-Scenarios!$C$5)*(3-1)/9))</f>
        <v/>
      </c>
      <c r="Q92">
        <f>P92*(1+($A92-($A92-Scenarios!$C$5)*(4-1)/9))</f>
        <v/>
      </c>
      <c r="R92">
        <f>Q92*(1+($A92-($A92-Scenarios!$C$5)*(5-1)/9))</f>
        <v/>
      </c>
      <c r="S92">
        <f>R92*(1+($A92-($A92-Scenarios!$C$5)*(6-1)/9))</f>
        <v/>
      </c>
      <c r="T92">
        <f>S92*(1+($A92-($A92-Scenarios!$C$5)*(7-1)/9))</f>
        <v/>
      </c>
      <c r="U92">
        <f>T92*(1+($A92-($A92-Scenarios!$C$5)*(8-1)/9))</f>
        <v/>
      </c>
      <c r="V92">
        <f>U92*(1+($A92-($A92-Scenarios!$C$5)*(9-1)/9))</f>
        <v/>
      </c>
      <c r="W92">
        <f>V92*(1+($A92-($A92-Scenarios!$C$5)*(10-1)/9))</f>
        <v/>
      </c>
    </row>
    <row r="93">
      <c r="A93" t="n">
        <v>1.925</v>
      </c>
      <c r="B93">
        <f>N93*(Inputs!$B$14+(Scenarios!$C$3-Inputs!$B$14)*MIN(1,5)/5)/(1+Scenarios!$C$4)^1</f>
        <v/>
      </c>
      <c r="C93">
        <f>O93*(Inputs!$B$14+(Scenarios!$C$3-Inputs!$B$14)*MIN(2,5)/5)/(1+Scenarios!$C$4)^2</f>
        <v/>
      </c>
      <c r="D93">
        <f>P93*(Inputs!$B$14+(Scenarios!$C$3-Inputs!$B$14)*MIN(3,5)/5)/(1+Scenarios!$C$4)^3</f>
        <v/>
      </c>
      <c r="E93">
        <f>Q93*(Inputs!$B$14+(Scenarios!$C$3-Inputs!$B$14)*MIN(4,5)/5)/(1+Scenarios!$C$4)^4</f>
        <v/>
      </c>
      <c r="F93">
        <f>R93*(Inputs!$B$14+(Scenarios!$C$3-Inputs!$B$14)*MIN(5,5)/5)/(1+Scenarios!$C$4)^5</f>
        <v/>
      </c>
      <c r="G93">
        <f>S93*(Inputs!$B$14+(Scenarios!$C$3-Inputs!$B$14)*MIN(6,5)/5)/(1+Scenarios!$C$4)^6</f>
        <v/>
      </c>
      <c r="H93">
        <f>T93*(Inputs!$B$14+(Scenarios!$C$3-Inputs!$B$14)*MIN(7,5)/5)/(1+Scenarios!$C$4)^7</f>
        <v/>
      </c>
      <c r="I93">
        <f>U93*(Inputs!$B$14+(Scenarios!$C$3-Inputs!$B$14)*MIN(8,5)/5)/(1+Scenarios!$C$4)^8</f>
        <v/>
      </c>
      <c r="J93">
        <f>V93*(Inputs!$B$14+(Scenarios!$C$3-Inputs!$B$14)*MIN(9,5)/5)/(1+Scenarios!$C$4)^9</f>
        <v/>
      </c>
      <c r="K93">
        <f>W93*(Inputs!$B$14+(Scenarios!$C$3-Inputs!$B$14)*MIN(10,5)/5)/(1+Scenarios!$C$4)^10</f>
        <v/>
      </c>
      <c r="L93">
        <f>W93*(Inputs!$B$14+(Scenarios!$C$3-Inputs!$B$14))*(1+Scenarios!$C$5)/(Scenarios!$C$4-Scenarios!$C$5)/(1+Scenarios!$C$4)^10</f>
        <v/>
      </c>
      <c r="M93">
        <f>(SUM(B93:L93)+Inputs!$B$17)*Inputs!$B$8/Inputs!$B$3*Inputs!$B$2</f>
        <v/>
      </c>
      <c r="N93">
        <f>Inputs!$B$6*(1+($A93-($A93-Scenarios!$C$5)*(1-1)/9))</f>
        <v/>
      </c>
      <c r="O93">
        <f>N93*(1+($A93-($A93-Scenarios!$C$5)*(2-1)/9))</f>
        <v/>
      </c>
      <c r="P93">
        <f>O93*(1+($A93-($A93-Scenarios!$C$5)*(3-1)/9))</f>
        <v/>
      </c>
      <c r="Q93">
        <f>P93*(1+($A93-($A93-Scenarios!$C$5)*(4-1)/9))</f>
        <v/>
      </c>
      <c r="R93">
        <f>Q93*(1+($A93-($A93-Scenarios!$C$5)*(5-1)/9))</f>
        <v/>
      </c>
      <c r="S93">
        <f>R93*(1+($A93-($A93-Scenarios!$C$5)*(6-1)/9))</f>
        <v/>
      </c>
      <c r="T93">
        <f>S93*(1+($A93-($A93-Scenarios!$C$5)*(7-1)/9))</f>
        <v/>
      </c>
      <c r="U93">
        <f>T93*(1+($A93-($A93-Scenarios!$C$5)*(8-1)/9))</f>
        <v/>
      </c>
      <c r="V93">
        <f>U93*(1+($A93-($A93-Scenarios!$C$5)*(9-1)/9))</f>
        <v/>
      </c>
      <c r="W93">
        <f>V93*(1+($A93-($A93-Scenarios!$C$5)*(10-1)/9))</f>
        <v/>
      </c>
    </row>
    <row r="94">
      <c r="A94" t="n">
        <v>1.95</v>
      </c>
      <c r="B94">
        <f>N94*(Inputs!$B$14+(Scenarios!$C$3-Inputs!$B$14)*MIN(1,5)/5)/(1+Scenarios!$C$4)^1</f>
        <v/>
      </c>
      <c r="C94">
        <f>O94*(Inputs!$B$14+(Scenarios!$C$3-Inputs!$B$14)*MIN(2,5)/5)/(1+Scenarios!$C$4)^2</f>
        <v/>
      </c>
      <c r="D94">
        <f>P94*(Inputs!$B$14+(Scenarios!$C$3-Inputs!$B$14)*MIN(3,5)/5)/(1+Scenarios!$C$4)^3</f>
        <v/>
      </c>
      <c r="E94">
        <f>Q94*(Inputs!$B$14+(Scenarios!$C$3-Inputs!$B$14)*MIN(4,5)/5)/(1+Scenarios!$C$4)^4</f>
        <v/>
      </c>
      <c r="F94">
        <f>R94*(Inputs!$B$14+(Scenarios!$C$3-Inputs!$B$14)*MIN(5,5)/5)/(1+Scenarios!$C$4)^5</f>
        <v/>
      </c>
      <c r="G94">
        <f>S94*(Inputs!$B$14+(Scenarios!$C$3-Inputs!$B$14)*MIN(6,5)/5)/(1+Scenarios!$C$4)^6</f>
        <v/>
      </c>
      <c r="H94">
        <f>T94*(Inputs!$B$14+(Scenarios!$C$3-Inputs!$B$14)*MIN(7,5)/5)/(1+Scenarios!$C$4)^7</f>
        <v/>
      </c>
      <c r="I94">
        <f>U94*(Inputs!$B$14+(Scenarios!$C$3-Inputs!$B$14)*MIN(8,5)/5)/(1+Scenarios!$C$4)^8</f>
        <v/>
      </c>
      <c r="J94">
        <f>V94*(Inputs!$B$14+(Scenarios!$C$3-Inputs!$B$14)*MIN(9,5)/5)/(1+Scenarios!$C$4)^9</f>
        <v/>
      </c>
      <c r="K94">
        <f>W94*(Inputs!$B$14+(Scenarios!$C$3-Inputs!$B$14)*MIN(10,5)/5)/(1+Scenarios!$C$4)^10</f>
        <v/>
      </c>
      <c r="L94">
        <f>W94*(Inputs!$B$14+(Scenarios!$C$3-Inputs!$B$14))*(1+Scenarios!$C$5)/(Scenarios!$C$4-Scenarios!$C$5)/(1+Scenarios!$C$4)^10</f>
        <v/>
      </c>
      <c r="M94">
        <f>(SUM(B94:L94)+Inputs!$B$17)*Inputs!$B$8/Inputs!$B$3*Inputs!$B$2</f>
        <v/>
      </c>
      <c r="N94">
        <f>Inputs!$B$6*(1+($A94-($A94-Scenarios!$C$5)*(1-1)/9))</f>
        <v/>
      </c>
      <c r="O94">
        <f>N94*(1+($A94-($A94-Scenarios!$C$5)*(2-1)/9))</f>
        <v/>
      </c>
      <c r="P94">
        <f>O94*(1+($A94-($A94-Scenarios!$C$5)*(3-1)/9))</f>
        <v/>
      </c>
      <c r="Q94">
        <f>P94*(1+($A94-($A94-Scenarios!$C$5)*(4-1)/9))</f>
        <v/>
      </c>
      <c r="R94">
        <f>Q94*(1+($A94-($A94-Scenarios!$C$5)*(5-1)/9))</f>
        <v/>
      </c>
      <c r="S94">
        <f>R94*(1+($A94-($A94-Scenarios!$C$5)*(6-1)/9))</f>
        <v/>
      </c>
      <c r="T94">
        <f>S94*(1+($A94-($A94-Scenarios!$C$5)*(7-1)/9))</f>
        <v/>
      </c>
      <c r="U94">
        <f>T94*(1+($A94-($A94-Scenarios!$C$5)*(8-1)/9))</f>
        <v/>
      </c>
      <c r="V94">
        <f>U94*(1+($A94-($A94-Scenarios!$C$5)*(9-1)/9))</f>
        <v/>
      </c>
      <c r="W94">
        <f>V94*(1+($A94-($A94-Scenarios!$C$5)*(10-1)/9))</f>
        <v/>
      </c>
    </row>
    <row r="95">
      <c r="A95" t="n">
        <v>1.975</v>
      </c>
      <c r="B95">
        <f>N95*(Inputs!$B$14+(Scenarios!$C$3-Inputs!$B$14)*MIN(1,5)/5)/(1+Scenarios!$C$4)^1</f>
        <v/>
      </c>
      <c r="C95">
        <f>O95*(Inputs!$B$14+(Scenarios!$C$3-Inputs!$B$14)*MIN(2,5)/5)/(1+Scenarios!$C$4)^2</f>
        <v/>
      </c>
      <c r="D95">
        <f>P95*(Inputs!$B$14+(Scenarios!$C$3-Inputs!$B$14)*MIN(3,5)/5)/(1+Scenarios!$C$4)^3</f>
        <v/>
      </c>
      <c r="E95">
        <f>Q95*(Inputs!$B$14+(Scenarios!$C$3-Inputs!$B$14)*MIN(4,5)/5)/(1+Scenarios!$C$4)^4</f>
        <v/>
      </c>
      <c r="F95">
        <f>R95*(Inputs!$B$14+(Scenarios!$C$3-Inputs!$B$14)*MIN(5,5)/5)/(1+Scenarios!$C$4)^5</f>
        <v/>
      </c>
      <c r="G95">
        <f>S95*(Inputs!$B$14+(Scenarios!$C$3-Inputs!$B$14)*MIN(6,5)/5)/(1+Scenarios!$C$4)^6</f>
        <v/>
      </c>
      <c r="H95">
        <f>T95*(Inputs!$B$14+(Scenarios!$C$3-Inputs!$B$14)*MIN(7,5)/5)/(1+Scenarios!$C$4)^7</f>
        <v/>
      </c>
      <c r="I95">
        <f>U95*(Inputs!$B$14+(Scenarios!$C$3-Inputs!$B$14)*MIN(8,5)/5)/(1+Scenarios!$C$4)^8</f>
        <v/>
      </c>
      <c r="J95">
        <f>V95*(Inputs!$B$14+(Scenarios!$C$3-Inputs!$B$14)*MIN(9,5)/5)/(1+Scenarios!$C$4)^9</f>
        <v/>
      </c>
      <c r="K95">
        <f>W95*(Inputs!$B$14+(Scenarios!$C$3-Inputs!$B$14)*MIN(10,5)/5)/(1+Scenarios!$C$4)^10</f>
        <v/>
      </c>
      <c r="L95">
        <f>W95*(Inputs!$B$14+(Scenarios!$C$3-Inputs!$B$14))*(1+Scenarios!$C$5)/(Scenarios!$C$4-Scenarios!$C$5)/(1+Scenarios!$C$4)^10</f>
        <v/>
      </c>
      <c r="M95">
        <f>(SUM(B95:L95)+Inputs!$B$17)*Inputs!$B$8/Inputs!$B$3*Inputs!$B$2</f>
        <v/>
      </c>
      <c r="N95">
        <f>Inputs!$B$6*(1+($A95-($A95-Scenarios!$C$5)*(1-1)/9))</f>
        <v/>
      </c>
      <c r="O95">
        <f>N95*(1+($A95-($A95-Scenarios!$C$5)*(2-1)/9))</f>
        <v/>
      </c>
      <c r="P95">
        <f>O95*(1+($A95-($A95-Scenarios!$C$5)*(3-1)/9))</f>
        <v/>
      </c>
      <c r="Q95">
        <f>P95*(1+($A95-($A95-Scenarios!$C$5)*(4-1)/9))</f>
        <v/>
      </c>
      <c r="R95">
        <f>Q95*(1+($A95-($A95-Scenarios!$C$5)*(5-1)/9))</f>
        <v/>
      </c>
      <c r="S95">
        <f>R95*(1+($A95-($A95-Scenarios!$C$5)*(6-1)/9))</f>
        <v/>
      </c>
      <c r="T95">
        <f>S95*(1+($A95-($A95-Scenarios!$C$5)*(7-1)/9))</f>
        <v/>
      </c>
      <c r="U95">
        <f>T95*(1+($A95-($A95-Scenarios!$C$5)*(8-1)/9))</f>
        <v/>
      </c>
      <c r="V95">
        <f>U95*(1+($A95-($A95-Scenarios!$C$5)*(9-1)/9))</f>
        <v/>
      </c>
      <c r="W95">
        <f>V95*(1+($A95-($A95-Scenarios!$C$5)*(10-1)/9))</f>
        <v/>
      </c>
    </row>
    <row r="96">
      <c r="A96" t="n">
        <v>2</v>
      </c>
      <c r="B96">
        <f>N96*(Inputs!$B$14+(Scenarios!$C$3-Inputs!$B$14)*MIN(1,5)/5)/(1+Scenarios!$C$4)^1</f>
        <v/>
      </c>
      <c r="C96">
        <f>O96*(Inputs!$B$14+(Scenarios!$C$3-Inputs!$B$14)*MIN(2,5)/5)/(1+Scenarios!$C$4)^2</f>
        <v/>
      </c>
      <c r="D96">
        <f>P96*(Inputs!$B$14+(Scenarios!$C$3-Inputs!$B$14)*MIN(3,5)/5)/(1+Scenarios!$C$4)^3</f>
        <v/>
      </c>
      <c r="E96">
        <f>Q96*(Inputs!$B$14+(Scenarios!$C$3-Inputs!$B$14)*MIN(4,5)/5)/(1+Scenarios!$C$4)^4</f>
        <v/>
      </c>
      <c r="F96">
        <f>R96*(Inputs!$B$14+(Scenarios!$C$3-Inputs!$B$14)*MIN(5,5)/5)/(1+Scenarios!$C$4)^5</f>
        <v/>
      </c>
      <c r="G96">
        <f>S96*(Inputs!$B$14+(Scenarios!$C$3-Inputs!$B$14)*MIN(6,5)/5)/(1+Scenarios!$C$4)^6</f>
        <v/>
      </c>
      <c r="H96">
        <f>T96*(Inputs!$B$14+(Scenarios!$C$3-Inputs!$B$14)*MIN(7,5)/5)/(1+Scenarios!$C$4)^7</f>
        <v/>
      </c>
      <c r="I96">
        <f>U96*(Inputs!$B$14+(Scenarios!$C$3-Inputs!$B$14)*MIN(8,5)/5)/(1+Scenarios!$C$4)^8</f>
        <v/>
      </c>
      <c r="J96">
        <f>V96*(Inputs!$B$14+(Scenarios!$C$3-Inputs!$B$14)*MIN(9,5)/5)/(1+Scenarios!$C$4)^9</f>
        <v/>
      </c>
      <c r="K96">
        <f>W96*(Inputs!$B$14+(Scenarios!$C$3-Inputs!$B$14)*MIN(10,5)/5)/(1+Scenarios!$C$4)^10</f>
        <v/>
      </c>
      <c r="L96">
        <f>W96*(Inputs!$B$14+(Scenarios!$C$3-Inputs!$B$14))*(1+Scenarios!$C$5)/(Scenarios!$C$4-Scenarios!$C$5)/(1+Scenarios!$C$4)^10</f>
        <v/>
      </c>
      <c r="M96">
        <f>(SUM(B96:L96)+Inputs!$B$17)*Inputs!$B$8/Inputs!$B$3*Inputs!$B$2</f>
        <v/>
      </c>
      <c r="N96">
        <f>Inputs!$B$6*(1+($A96-($A96-Scenarios!$C$5)*(1-1)/9))</f>
        <v/>
      </c>
      <c r="O96">
        <f>N96*(1+($A96-($A96-Scenarios!$C$5)*(2-1)/9))</f>
        <v/>
      </c>
      <c r="P96">
        <f>O96*(1+($A96-($A96-Scenarios!$C$5)*(3-1)/9))</f>
        <v/>
      </c>
      <c r="Q96">
        <f>P96*(1+($A96-($A96-Scenarios!$C$5)*(4-1)/9))</f>
        <v/>
      </c>
      <c r="R96">
        <f>Q96*(1+($A96-($A96-Scenarios!$C$5)*(5-1)/9))</f>
        <v/>
      </c>
      <c r="S96">
        <f>R96*(1+($A96-($A96-Scenarios!$C$5)*(6-1)/9))</f>
        <v/>
      </c>
      <c r="T96">
        <f>S96*(1+($A96-($A96-Scenarios!$C$5)*(7-1)/9))</f>
        <v/>
      </c>
      <c r="U96">
        <f>T96*(1+($A96-($A96-Scenarios!$C$5)*(8-1)/9))</f>
        <v/>
      </c>
      <c r="V96">
        <f>U96*(1+($A96-($A96-Scenarios!$C$5)*(9-1)/9))</f>
        <v/>
      </c>
      <c r="W96">
        <f>V96*(1+($A96-($A96-Scenarios!$C$5)*(10-1)/9))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Base-case value/share: WACC (rows) × terminal g (cols). Uses Base FCF path in DCF!B10:K10.</t>
        </is>
      </c>
    </row>
    <row r="3">
      <c r="A3" s="1" t="inlineStr">
        <is>
          <t>WACC \ g</t>
        </is>
      </c>
      <c r="B3" s="1" t="n">
        <v>0.02</v>
      </c>
      <c r="C3" s="1" t="n">
        <v>0.025</v>
      </c>
      <c r="D3" s="1" t="n">
        <v>0.03</v>
      </c>
      <c r="E3" s="1" t="n">
        <v>0.035</v>
      </c>
      <c r="F3" s="1" t="n">
        <v>0.04</v>
      </c>
    </row>
    <row r="4">
      <c r="A4">
        <f>Scenarios!$C$4+(-0.02)</f>
        <v/>
      </c>
      <c r="B4">
        <f>(SUMPRODUCT(DCF!$B$20:$K$20,1/(1+$A4)^DCF!$B$16:$K$16)+DCF!$K$20*(1+B$3)/($A4-B$3)/(1+$A4)^10+Inputs!$B$17)*Inputs!$B$8/Inputs!$B$3*Inputs!$B$2</f>
        <v/>
      </c>
      <c r="C4">
        <f>(SUMPRODUCT(DCF!$B$20:$K$20,1/(1+$A4)^DCF!$B$16:$K$16)+DCF!$K$20*(1+C$3)/($A4-C$3)/(1+$A4)^10+Inputs!$B$17)*Inputs!$B$8/Inputs!$B$3*Inputs!$B$2</f>
        <v/>
      </c>
      <c r="D4">
        <f>(SUMPRODUCT(DCF!$B$20:$K$20,1/(1+$A4)^DCF!$B$16:$K$16)+DCF!$K$20*(1+D$3)/($A4-D$3)/(1+$A4)^10+Inputs!$B$17)*Inputs!$B$8/Inputs!$B$3*Inputs!$B$2</f>
        <v/>
      </c>
      <c r="E4">
        <f>(SUMPRODUCT(DCF!$B$20:$K$20,1/(1+$A4)^DCF!$B$16:$K$16)+DCF!$K$20*(1+E$3)/($A4-E$3)/(1+$A4)^10+Inputs!$B$17)*Inputs!$B$8/Inputs!$B$3*Inputs!$B$2</f>
        <v/>
      </c>
      <c r="F4">
        <f>(SUMPRODUCT(DCF!$B$20:$K$20,1/(1+$A4)^DCF!$B$16:$K$16)+DCF!$K$20*(1+F$3)/($A4-F$3)/(1+$A4)^10+Inputs!$B$17)*Inputs!$B$8/Inputs!$B$3*Inputs!$B$2</f>
        <v/>
      </c>
    </row>
    <row r="5">
      <c r="A5">
        <f>Scenarios!$C$4+(-0.01)</f>
        <v/>
      </c>
      <c r="B5">
        <f>(SUMPRODUCT(DCF!$B$20:$K$20,1/(1+$A5)^DCF!$B$16:$K$16)+DCF!$K$20*(1+B$3)/($A5-B$3)/(1+$A5)^10+Inputs!$B$17)*Inputs!$B$8/Inputs!$B$3*Inputs!$B$2</f>
        <v/>
      </c>
      <c r="C5">
        <f>(SUMPRODUCT(DCF!$B$20:$K$20,1/(1+$A5)^DCF!$B$16:$K$16)+DCF!$K$20*(1+C$3)/($A5-C$3)/(1+$A5)^10+Inputs!$B$17)*Inputs!$B$8/Inputs!$B$3*Inputs!$B$2</f>
        <v/>
      </c>
      <c r="D5">
        <f>(SUMPRODUCT(DCF!$B$20:$K$20,1/(1+$A5)^DCF!$B$16:$K$16)+DCF!$K$20*(1+D$3)/($A5-D$3)/(1+$A5)^10+Inputs!$B$17)*Inputs!$B$8/Inputs!$B$3*Inputs!$B$2</f>
        <v/>
      </c>
      <c r="E5">
        <f>(SUMPRODUCT(DCF!$B$20:$K$20,1/(1+$A5)^DCF!$B$16:$K$16)+DCF!$K$20*(1+E$3)/($A5-E$3)/(1+$A5)^10+Inputs!$B$17)*Inputs!$B$8/Inputs!$B$3*Inputs!$B$2</f>
        <v/>
      </c>
      <c r="F5">
        <f>(SUMPRODUCT(DCF!$B$20:$K$20,1/(1+$A5)^DCF!$B$16:$K$16)+DCF!$K$20*(1+F$3)/($A5-F$3)/(1+$A5)^10+Inputs!$B$17)*Inputs!$B$8/Inputs!$B$3*Inputs!$B$2</f>
        <v/>
      </c>
    </row>
    <row r="6">
      <c r="A6">
        <f>Scenarios!$C$4+(0)</f>
        <v/>
      </c>
      <c r="B6">
        <f>(SUMPRODUCT(DCF!$B$20:$K$20,1/(1+$A6)^DCF!$B$16:$K$16)+DCF!$K$20*(1+B$3)/($A6-B$3)/(1+$A6)^10+Inputs!$B$17)*Inputs!$B$8/Inputs!$B$3*Inputs!$B$2</f>
        <v/>
      </c>
      <c r="C6">
        <f>(SUMPRODUCT(DCF!$B$20:$K$20,1/(1+$A6)^DCF!$B$16:$K$16)+DCF!$K$20*(1+C$3)/($A6-C$3)/(1+$A6)^10+Inputs!$B$17)*Inputs!$B$8/Inputs!$B$3*Inputs!$B$2</f>
        <v/>
      </c>
      <c r="D6">
        <f>(SUMPRODUCT(DCF!$B$20:$K$20,1/(1+$A6)^DCF!$B$16:$K$16)+DCF!$K$20*(1+D$3)/($A6-D$3)/(1+$A6)^10+Inputs!$B$17)*Inputs!$B$8/Inputs!$B$3*Inputs!$B$2</f>
        <v/>
      </c>
      <c r="E6">
        <f>(SUMPRODUCT(DCF!$B$20:$K$20,1/(1+$A6)^DCF!$B$16:$K$16)+DCF!$K$20*(1+E$3)/($A6-E$3)/(1+$A6)^10+Inputs!$B$17)*Inputs!$B$8/Inputs!$B$3*Inputs!$B$2</f>
        <v/>
      </c>
      <c r="F6">
        <f>(SUMPRODUCT(DCF!$B$20:$K$20,1/(1+$A6)^DCF!$B$16:$K$16)+DCF!$K$20*(1+F$3)/($A6-F$3)/(1+$A6)^10+Inputs!$B$17)*Inputs!$B$8/Inputs!$B$3*Inputs!$B$2</f>
        <v/>
      </c>
    </row>
    <row r="7">
      <c r="A7">
        <f>Scenarios!$C$4+(0.01)</f>
        <v/>
      </c>
      <c r="B7">
        <f>(SUMPRODUCT(DCF!$B$20:$K$20,1/(1+$A7)^DCF!$B$16:$K$16)+DCF!$K$20*(1+B$3)/($A7-B$3)/(1+$A7)^10+Inputs!$B$17)*Inputs!$B$8/Inputs!$B$3*Inputs!$B$2</f>
        <v/>
      </c>
      <c r="C7">
        <f>(SUMPRODUCT(DCF!$B$20:$K$20,1/(1+$A7)^DCF!$B$16:$K$16)+DCF!$K$20*(1+C$3)/($A7-C$3)/(1+$A7)^10+Inputs!$B$17)*Inputs!$B$8/Inputs!$B$3*Inputs!$B$2</f>
        <v/>
      </c>
      <c r="D7">
        <f>(SUMPRODUCT(DCF!$B$20:$K$20,1/(1+$A7)^DCF!$B$16:$K$16)+DCF!$K$20*(1+D$3)/($A7-D$3)/(1+$A7)^10+Inputs!$B$17)*Inputs!$B$8/Inputs!$B$3*Inputs!$B$2</f>
        <v/>
      </c>
      <c r="E7">
        <f>(SUMPRODUCT(DCF!$B$20:$K$20,1/(1+$A7)^DCF!$B$16:$K$16)+DCF!$K$20*(1+E$3)/($A7-E$3)/(1+$A7)^10+Inputs!$B$17)*Inputs!$B$8/Inputs!$B$3*Inputs!$B$2</f>
        <v/>
      </c>
      <c r="F7">
        <f>(SUMPRODUCT(DCF!$B$20:$K$20,1/(1+$A7)^DCF!$B$16:$K$16)+DCF!$K$20*(1+F$3)/($A7-F$3)/(1+$A7)^10+Inputs!$B$17)*Inputs!$B$8/Inputs!$B$3*Inputs!$B$2</f>
        <v/>
      </c>
    </row>
    <row r="8">
      <c r="A8">
        <f>Scenarios!$C$4+(0.02)</f>
        <v/>
      </c>
      <c r="B8">
        <f>(SUMPRODUCT(DCF!$B$20:$K$20,1/(1+$A8)^DCF!$B$16:$K$16)+DCF!$K$20*(1+B$3)/($A8-B$3)/(1+$A8)^10+Inputs!$B$17)*Inputs!$B$8/Inputs!$B$3*Inputs!$B$2</f>
        <v/>
      </c>
      <c r="C8">
        <f>(SUMPRODUCT(DCF!$B$20:$K$20,1/(1+$A8)^DCF!$B$16:$K$16)+DCF!$K$20*(1+C$3)/($A8-C$3)/(1+$A8)^10+Inputs!$B$17)*Inputs!$B$8/Inputs!$B$3*Inputs!$B$2</f>
        <v/>
      </c>
      <c r="D8">
        <f>(SUMPRODUCT(DCF!$B$20:$K$20,1/(1+$A8)^DCF!$B$16:$K$16)+DCF!$K$20*(1+D$3)/($A8-D$3)/(1+$A8)^10+Inputs!$B$17)*Inputs!$B$8/Inputs!$B$3*Inputs!$B$2</f>
        <v/>
      </c>
      <c r="E8">
        <f>(SUMPRODUCT(DCF!$B$20:$K$20,1/(1+$A8)^DCF!$B$16:$K$16)+DCF!$K$20*(1+E$3)/($A8-E$3)/(1+$A8)^10+Inputs!$B$17)*Inputs!$B$8/Inputs!$B$3*Inputs!$B$2</f>
        <v/>
      </c>
      <c r="F8">
        <f>(SUMPRODUCT(DCF!$B$20:$K$20,1/(1+$A8)^DCF!$B$16:$K$16)+DCF!$K$20*(1+F$3)/($A8-F$3)/(1+$A8)^10+Inputs!$B$17)*Inputs!$B$8/Inputs!$B$3*Inputs!$B$2</f>
        <v/>
      </c>
    </row>
    <row r="11">
      <c r="A11" t="inlineStr">
        <is>
          <t>Base value/share: Y1 growth multiplier (rows) × long-run margin (cols) — approximate via scaling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2/4/6/8-quarter price-reasonableness check｜2/4/6/8季度股价合理性检验. Price_h = (NTM FCF at h × exit multiple + net cash) → per share; PV discounted at scenario WACC.</t>
        </is>
      </c>
    </row>
    <row r="3">
      <c r="A3" s="1" t="inlineStr">
        <is>
          <t>Quarters</t>
        </is>
      </c>
      <c r="B3" s="1" t="inlineStr">
        <is>
          <t>Scenario</t>
        </is>
      </c>
      <c r="C3" s="1" t="inlineStr">
        <is>
          <t>Exit EV/FCF</t>
        </is>
      </c>
      <c r="D3" s="1" t="inlineStr">
        <is>
          <t>Revenue at h</t>
        </is>
      </c>
      <c r="E3" s="1" t="inlineStr">
        <is>
          <t>FCF margin at h</t>
        </is>
      </c>
      <c r="F3" s="1" t="inlineStr">
        <is>
          <t>NTM FCF at h</t>
        </is>
      </c>
      <c r="G3" s="1" t="inlineStr">
        <is>
          <t>Price at h</t>
        </is>
      </c>
      <c r="H3" s="1" t="inlineStr">
        <is>
          <t>PV today</t>
        </is>
      </c>
      <c r="I3" s="1" t="inlineStr">
        <is>
          <t>vs price</t>
        </is>
      </c>
      <c r="J3" s="1" t="inlineStr">
        <is>
          <t>Implied EV/NTM-FCF at current price</t>
        </is>
      </c>
    </row>
    <row r="4">
      <c r="A4" t="n">
        <v>2</v>
      </c>
      <c r="B4" t="inlineStr">
        <is>
          <t>Bear</t>
        </is>
      </c>
      <c r="C4" s="3" t="n">
        <v>15</v>
      </c>
      <c r="D4">
        <f>Inputs!$B$6*(1+Scenarios!B2)^(A4/4)</f>
        <v/>
      </c>
      <c r="E4">
        <f>Inputs!$B$14+(Scenarios!B3-Inputs!$B$14)*MIN(A4/4+1,5)/5</f>
        <v/>
      </c>
      <c r="F4">
        <f>D4*(1+Scenarios!B2)*E4</f>
        <v/>
      </c>
      <c r="G4">
        <f>(F4*C4+Inputs!$B$17)*Inputs!$B$8/Inputs!$B$3*Inputs!$B$2</f>
        <v/>
      </c>
      <c r="H4">
        <f>G4/(1+Scenarios!B4)^(A4/4)</f>
        <v/>
      </c>
      <c r="I4">
        <f>H4/Inputs!$B$2-1</f>
        <v/>
      </c>
    </row>
    <row r="5">
      <c r="A5" t="n">
        <v>2</v>
      </c>
      <c r="B5" t="inlineStr">
        <is>
          <t>Base</t>
        </is>
      </c>
      <c r="C5" s="3" t="n">
        <v>25</v>
      </c>
      <c r="D5">
        <f>Inputs!$B$6*(1+Scenarios!C2)^(A5/4)</f>
        <v/>
      </c>
      <c r="E5">
        <f>Inputs!$B$14+(Scenarios!C3-Inputs!$B$14)*MIN(A5/4+1,5)/5</f>
        <v/>
      </c>
      <c r="F5">
        <f>D5*(1+Scenarios!C2)*E5</f>
        <v/>
      </c>
      <c r="G5">
        <f>(F5*C5+Inputs!$B$17)*Inputs!$B$8/Inputs!$B$3*Inputs!$B$2</f>
        <v/>
      </c>
      <c r="H5">
        <f>G5/(1+Scenarios!C4)^(A5/4)</f>
        <v/>
      </c>
      <c r="I5">
        <f>H5/Inputs!$B$2-1</f>
        <v/>
      </c>
      <c r="J5">
        <f>IF(F5&gt;0,Inputs!$B$18/F5,"n/m (neg FCF)")</f>
        <v/>
      </c>
    </row>
    <row r="6">
      <c r="A6" t="n">
        <v>2</v>
      </c>
      <c r="B6" t="inlineStr">
        <is>
          <t>Bull</t>
        </is>
      </c>
      <c r="C6" s="3" t="n">
        <v>35</v>
      </c>
      <c r="D6">
        <f>Inputs!$B$6*(1+Scenarios!D2)^(A6/4)</f>
        <v/>
      </c>
      <c r="E6">
        <f>Inputs!$B$14+(Scenarios!D3-Inputs!$B$14)*MIN(A6/4+1,5)/5</f>
        <v/>
      </c>
      <c r="F6">
        <f>D6*(1+Scenarios!D2)*E6</f>
        <v/>
      </c>
      <c r="G6">
        <f>(F6*C6+Inputs!$B$17)*Inputs!$B$8/Inputs!$B$3*Inputs!$B$2</f>
        <v/>
      </c>
      <c r="H6">
        <f>G6/(1+Scenarios!D4)^(A6/4)</f>
        <v/>
      </c>
      <c r="I6">
        <f>H6/Inputs!$B$2-1</f>
        <v/>
      </c>
    </row>
    <row r="7">
      <c r="A7" t="n">
        <v>4</v>
      </c>
      <c r="B7" t="inlineStr">
        <is>
          <t>Bear</t>
        </is>
      </c>
      <c r="C7" s="3" t="n">
        <v>15</v>
      </c>
      <c r="D7">
        <f>Inputs!$B$6*(1+Scenarios!B2)^(A7/4)</f>
        <v/>
      </c>
      <c r="E7">
        <f>Inputs!$B$14+(Scenarios!B3-Inputs!$B$14)*MIN(A7/4+1,5)/5</f>
        <v/>
      </c>
      <c r="F7">
        <f>D7*(1+Scenarios!B2)*E7</f>
        <v/>
      </c>
      <c r="G7">
        <f>(F7*C7+Inputs!$B$17)*Inputs!$B$8/Inputs!$B$3*Inputs!$B$2</f>
        <v/>
      </c>
      <c r="H7">
        <f>G7/(1+Scenarios!B4)^(A7/4)</f>
        <v/>
      </c>
      <c r="I7">
        <f>H7/Inputs!$B$2-1</f>
        <v/>
      </c>
    </row>
    <row r="8">
      <c r="A8" t="n">
        <v>4</v>
      </c>
      <c r="B8" t="inlineStr">
        <is>
          <t>Base</t>
        </is>
      </c>
      <c r="C8" s="3" t="n">
        <v>25</v>
      </c>
      <c r="D8">
        <f>Inputs!$B$6*(1+Scenarios!C2)^(A8/4)</f>
        <v/>
      </c>
      <c r="E8">
        <f>Inputs!$B$14+(Scenarios!C3-Inputs!$B$14)*MIN(A8/4+1,5)/5</f>
        <v/>
      </c>
      <c r="F8">
        <f>D8*(1+Scenarios!C2)*E8</f>
        <v/>
      </c>
      <c r="G8">
        <f>(F8*C8+Inputs!$B$17)*Inputs!$B$8/Inputs!$B$3*Inputs!$B$2</f>
        <v/>
      </c>
      <c r="H8">
        <f>G8/(1+Scenarios!C4)^(A8/4)</f>
        <v/>
      </c>
      <c r="I8">
        <f>H8/Inputs!$B$2-1</f>
        <v/>
      </c>
      <c r="J8">
        <f>IF(F8&gt;0,Inputs!$B$18/F8,"n/m (neg FCF)")</f>
        <v/>
      </c>
    </row>
    <row r="9">
      <c r="A9" t="n">
        <v>4</v>
      </c>
      <c r="B9" t="inlineStr">
        <is>
          <t>Bull</t>
        </is>
      </c>
      <c r="C9" s="3" t="n">
        <v>35</v>
      </c>
      <c r="D9">
        <f>Inputs!$B$6*(1+Scenarios!D2)^(A9/4)</f>
        <v/>
      </c>
      <c r="E9">
        <f>Inputs!$B$14+(Scenarios!D3-Inputs!$B$14)*MIN(A9/4+1,5)/5</f>
        <v/>
      </c>
      <c r="F9">
        <f>D9*(1+Scenarios!D2)*E9</f>
        <v/>
      </c>
      <c r="G9">
        <f>(F9*C9+Inputs!$B$17)*Inputs!$B$8/Inputs!$B$3*Inputs!$B$2</f>
        <v/>
      </c>
      <c r="H9">
        <f>G9/(1+Scenarios!D4)^(A9/4)</f>
        <v/>
      </c>
      <c r="I9">
        <f>H9/Inputs!$B$2-1</f>
        <v/>
      </c>
    </row>
    <row r="10">
      <c r="A10" t="n">
        <v>6</v>
      </c>
      <c r="B10" t="inlineStr">
        <is>
          <t>Bear</t>
        </is>
      </c>
      <c r="C10" s="3" t="n">
        <v>15</v>
      </c>
      <c r="D10">
        <f>Inputs!$B$6*(1+Scenarios!B2)^(A10/4)</f>
        <v/>
      </c>
      <c r="E10">
        <f>Inputs!$B$14+(Scenarios!B3-Inputs!$B$14)*MIN(A10/4+1,5)/5</f>
        <v/>
      </c>
      <c r="F10">
        <f>D10*(1+Scenarios!B2)*E10</f>
        <v/>
      </c>
      <c r="G10">
        <f>(F10*C10+Inputs!$B$17)*Inputs!$B$8/Inputs!$B$3*Inputs!$B$2</f>
        <v/>
      </c>
      <c r="H10">
        <f>G10/(1+Scenarios!B4)^(A10/4)</f>
        <v/>
      </c>
      <c r="I10">
        <f>H10/Inputs!$B$2-1</f>
        <v/>
      </c>
    </row>
    <row r="11">
      <c r="A11" t="n">
        <v>6</v>
      </c>
      <c r="B11" t="inlineStr">
        <is>
          <t>Base</t>
        </is>
      </c>
      <c r="C11" s="3" t="n">
        <v>25</v>
      </c>
      <c r="D11">
        <f>Inputs!$B$6*(1+Scenarios!C2)^(A11/4)</f>
        <v/>
      </c>
      <c r="E11">
        <f>Inputs!$B$14+(Scenarios!C3-Inputs!$B$14)*MIN(A11/4+1,5)/5</f>
        <v/>
      </c>
      <c r="F11">
        <f>D11*(1+Scenarios!C2)*E11</f>
        <v/>
      </c>
      <c r="G11">
        <f>(F11*C11+Inputs!$B$17)*Inputs!$B$8/Inputs!$B$3*Inputs!$B$2</f>
        <v/>
      </c>
      <c r="H11">
        <f>G11/(1+Scenarios!C4)^(A11/4)</f>
        <v/>
      </c>
      <c r="I11">
        <f>H11/Inputs!$B$2-1</f>
        <v/>
      </c>
      <c r="J11">
        <f>IF(F11&gt;0,Inputs!$B$18/F11,"n/m (neg FCF)")</f>
        <v/>
      </c>
    </row>
    <row r="12">
      <c r="A12" t="n">
        <v>6</v>
      </c>
      <c r="B12" t="inlineStr">
        <is>
          <t>Bull</t>
        </is>
      </c>
      <c r="C12" s="3" t="n">
        <v>35</v>
      </c>
      <c r="D12">
        <f>Inputs!$B$6*(1+Scenarios!D2)^(A12/4)</f>
        <v/>
      </c>
      <c r="E12">
        <f>Inputs!$B$14+(Scenarios!D3-Inputs!$B$14)*MIN(A12/4+1,5)/5</f>
        <v/>
      </c>
      <c r="F12">
        <f>D12*(1+Scenarios!D2)*E12</f>
        <v/>
      </c>
      <c r="G12">
        <f>(F12*C12+Inputs!$B$17)*Inputs!$B$8/Inputs!$B$3*Inputs!$B$2</f>
        <v/>
      </c>
      <c r="H12">
        <f>G12/(1+Scenarios!D4)^(A12/4)</f>
        <v/>
      </c>
      <c r="I12">
        <f>H12/Inputs!$B$2-1</f>
        <v/>
      </c>
    </row>
    <row r="13">
      <c r="A13" t="n">
        <v>8</v>
      </c>
      <c r="B13" t="inlineStr">
        <is>
          <t>Bear</t>
        </is>
      </c>
      <c r="C13" s="3" t="n">
        <v>15</v>
      </c>
      <c r="D13">
        <f>Inputs!$B$6*(1+Scenarios!B2)^(A13/4)</f>
        <v/>
      </c>
      <c r="E13">
        <f>Inputs!$B$14+(Scenarios!B3-Inputs!$B$14)*MIN(A13/4+1,5)/5</f>
        <v/>
      </c>
      <c r="F13">
        <f>D13*(1+Scenarios!B2)*E13</f>
        <v/>
      </c>
      <c r="G13">
        <f>(F13*C13+Inputs!$B$17)*Inputs!$B$8/Inputs!$B$3*Inputs!$B$2</f>
        <v/>
      </c>
      <c r="H13">
        <f>G13/(1+Scenarios!B4)^(A13/4)</f>
        <v/>
      </c>
      <c r="I13">
        <f>H13/Inputs!$B$2-1</f>
        <v/>
      </c>
    </row>
    <row r="14">
      <c r="A14" t="n">
        <v>8</v>
      </c>
      <c r="B14" t="inlineStr">
        <is>
          <t>Base</t>
        </is>
      </c>
      <c r="C14" s="3" t="n">
        <v>25</v>
      </c>
      <c r="D14">
        <f>Inputs!$B$6*(1+Scenarios!C2)^(A14/4)</f>
        <v/>
      </c>
      <c r="E14">
        <f>Inputs!$B$14+(Scenarios!C3-Inputs!$B$14)*MIN(A14/4+1,5)/5</f>
        <v/>
      </c>
      <c r="F14">
        <f>D14*(1+Scenarios!C2)*E14</f>
        <v/>
      </c>
      <c r="G14">
        <f>(F14*C14+Inputs!$B$17)*Inputs!$B$8/Inputs!$B$3*Inputs!$B$2</f>
        <v/>
      </c>
      <c r="H14">
        <f>G14/(1+Scenarios!C4)^(A14/4)</f>
        <v/>
      </c>
      <c r="I14">
        <f>H14/Inputs!$B$2-1</f>
        <v/>
      </c>
      <c r="J14">
        <f>IF(F14&gt;0,Inputs!$B$18/F14,"n/m (neg FCF)")</f>
        <v/>
      </c>
    </row>
    <row r="15">
      <c r="A15" t="n">
        <v>8</v>
      </c>
      <c r="B15" t="inlineStr">
        <is>
          <t>Bull</t>
        </is>
      </c>
      <c r="C15" s="3" t="n">
        <v>35</v>
      </c>
      <c r="D15">
        <f>Inputs!$B$6*(1+Scenarios!D2)^(A15/4)</f>
        <v/>
      </c>
      <c r="E15">
        <f>Inputs!$B$14+(Scenarios!D3-Inputs!$B$14)*MIN(A15/4+1,5)/5</f>
        <v/>
      </c>
      <c r="F15">
        <f>D15*(1+Scenarios!D2)*E15</f>
        <v/>
      </c>
      <c r="G15">
        <f>(F15*C15+Inputs!$B$17)*Inputs!$B$8/Inputs!$B$3*Inputs!$B$2</f>
        <v/>
      </c>
      <c r="H15">
        <f>G15/(1+Scenarios!D4)^(A15/4)</f>
        <v/>
      </c>
      <c r="I15">
        <f>H15/Inputs!$B$2-1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Segment 分部</t>
        </is>
      </c>
      <c r="B1" s="1" t="inlineStr">
        <is>
          <t>Revenue (fin cur) INPUT</t>
        </is>
      </c>
      <c r="C1" s="1" t="inlineStr">
        <is>
          <t>EV/Sales multiple ASSUMPTION</t>
        </is>
      </c>
      <c r="D1" s="1" t="inlineStr">
        <is>
          <t>Segment EV</t>
        </is>
      </c>
      <c r="E1" s="1" t="inlineStr">
        <is>
          <t>Note</t>
        </is>
      </c>
    </row>
    <row r="2">
      <c r="A2" t="inlineStr">
        <is>
          <t>Subscription 订阅</t>
        </is>
      </c>
      <c r="B2" s="3" t="n"/>
      <c r="C2" s="3" t="n"/>
      <c r="D2">
        <f>IF(AND(ISNUMBER(B2),ISNUMBER(C2)),B2*C2,0)</f>
        <v/>
      </c>
      <c r="E2" t="inlineStr">
        <is>
          <t>INPUT REQUIRED: segment revenue from latest 10-K/10-Q segment note (not auto-fed; left blank to avoid fabrication)</t>
        </is>
      </c>
    </row>
    <row r="3">
      <c r="A3" t="inlineStr">
        <is>
          <t>Professional services 专业服务</t>
        </is>
      </c>
      <c r="B3" s="3" t="n"/>
      <c r="C3" s="3" t="n"/>
      <c r="D3">
        <f>IF(AND(ISNUMBER(B3),ISNUMBER(C3)),B3*C3,0)</f>
        <v/>
      </c>
      <c r="E3" t="inlineStr">
        <is>
          <t>INPUT REQUIRED: segment revenue from latest 10-K/10-Q segment note (not auto-fed; left blank to avoid fabrication)</t>
        </is>
      </c>
    </row>
    <row r="4">
      <c r="A4" t="inlineStr">
        <is>
          <t>Total EV</t>
        </is>
      </c>
      <c r="D4">
        <f>SUM(D2:D3)</f>
        <v/>
      </c>
    </row>
    <row r="5">
      <c r="A5" t="inlineStr">
        <is>
          <t>Equity value</t>
        </is>
      </c>
      <c r="D5">
        <f>D4+Inputs!B17</f>
        <v/>
      </c>
    </row>
    <row r="6">
      <c r="A6" t="inlineStr">
        <is>
          <t>Value/share USD</t>
        </is>
      </c>
      <c r="D6">
        <f>D5*Inputs!B8/Inputs!B3*Inputs!B2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Ticker</t>
        </is>
      </c>
      <c r="B1" s="1" t="inlineStr">
        <is>
          <t>MarketCap</t>
        </is>
      </c>
      <c r="C1" s="1" t="inlineStr">
        <is>
          <t>EV</t>
        </is>
      </c>
      <c r="D1" s="1" t="inlineStr">
        <is>
          <t>EV/Revenue</t>
        </is>
      </c>
      <c r="E1" s="1" t="inlineStr">
        <is>
          <t>Fwd P/E</t>
        </is>
      </c>
      <c r="F1" s="1" t="inlineStr">
        <is>
          <t>Rev growth (yoy)</t>
        </is>
      </c>
      <c r="G1" s="1" t="inlineStr">
        <is>
          <t>Gross margin</t>
        </is>
      </c>
      <c r="H1" s="1" t="inlineStr">
        <is>
          <t>FCF yield</t>
        </is>
      </c>
    </row>
    <row r="2">
      <c r="A2" t="inlineStr">
        <is>
          <t>PANW</t>
        </is>
      </c>
      <c r="B2" s="2" t="n">
        <v>330332930048</v>
      </c>
      <c r="C2" s="2" t="n">
        <v>329828925440</v>
      </c>
      <c r="D2" s="2" t="n">
        <v>28.731</v>
      </c>
      <c r="E2" s="2" t="n">
        <v>82.76782</v>
      </c>
      <c r="F2" s="2" t="n">
        <v>0.345</v>
      </c>
      <c r="G2" s="2" t="n">
        <v>0.70383</v>
      </c>
      <c r="H2" s="2" t="n">
        <v>0.0128374270630052</v>
      </c>
    </row>
    <row r="3">
      <c r="A3" t="inlineStr">
        <is>
          <t>ZS</t>
        </is>
      </c>
      <c r="B3" s="2" t="n">
        <v>36814491648</v>
      </c>
      <c r="C3" s="2" t="n">
        <v>35208323072</v>
      </c>
      <c r="D3" s="2" t="n">
        <v>10.502</v>
      </c>
      <c r="E3" s="2" t="n">
        <v>40.15037</v>
      </c>
      <c r="F3" s="2" t="n">
        <v>0.249</v>
      </c>
      <c r="G3" s="2" t="n">
        <v>0.76872003</v>
      </c>
      <c r="H3" s="2" t="n">
        <v>0.02919817147762779</v>
      </c>
    </row>
    <row r="4">
      <c r="A4" t="inlineStr">
        <is>
          <t>S</t>
        </is>
      </c>
      <c r="B4" s="2" t="n">
        <v>8930939904</v>
      </c>
      <c r="C4" s="2" t="n">
        <v>8275692544</v>
      </c>
      <c r="D4" s="2" t="n">
        <v>7.532</v>
      </c>
      <c r="E4" s="2" t="n">
        <v>55.672474</v>
      </c>
      <c r="F4" s="2" t="n">
        <v>0.206</v>
      </c>
      <c r="G4" s="2" t="n">
        <v>0.72540003</v>
      </c>
      <c r="H4" s="2" t="n">
        <v>0.03324181364909115</v>
      </c>
    </row>
    <row r="5">
      <c r="A5" t="inlineStr">
        <is>
          <t>PLTR</t>
        </is>
      </c>
      <c r="B5" s="2" t="n">
        <v>502239199232</v>
      </c>
      <c r="C5" s="2" t="n">
        <v>493152206848</v>
      </c>
      <c r="D5" s="2" t="n">
        <v>80.11</v>
      </c>
      <c r="E5" s="2" t="n">
        <v>88.87792</v>
      </c>
      <c r="F5" s="2" t="n">
        <v>0.928</v>
      </c>
      <c r="G5" s="2" t="n">
        <v>0.84796</v>
      </c>
      <c r="H5" s="2" t="n">
        <v>0.00429895658343992</v>
      </c>
    </row>
    <row r="6">
      <c r="A6" t="inlineStr">
        <is>
          <t>Peer median (ex-subject)</t>
        </is>
      </c>
      <c r="D6">
        <f>MEDIAN(D3:D5)</f>
        <v/>
      </c>
      <c r="E6">
        <f>MEDIAN(E3:E5)</f>
        <v/>
      </c>
      <c r="F6">
        <f>MEDIAN(F3:F5)</f>
        <v/>
      </c>
      <c r="G6">
        <f>MEDIAN(G3:G5)</f>
        <v/>
      </c>
      <c r="H6">
        <f>MEDIAN(H3:H5)</f>
        <v/>
      </c>
    </row>
    <row r="8">
      <c r="A8" t="inlineStr">
        <is>
          <t>Source: Yahoo Finance info fields (enterpriseToRevenue, forwardPE, revenueGrowth, grossMargins, freeCashflow/marketCap), fetched 2026-10-13 18:12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EBIT TTM (fin cur)</t>
        </is>
      </c>
      <c r="B1" t="n">
        <v>104214000</v>
      </c>
    </row>
    <row r="2">
      <c r="A2" t="inlineStr">
        <is>
          <t>Tax rate</t>
        </is>
      </c>
      <c r="B2">
        <f>Inputs!B12</f>
        <v/>
      </c>
    </row>
    <row r="3">
      <c r="A3" t="inlineStr">
        <is>
          <t>NOPAT</t>
        </is>
      </c>
      <c r="B3">
        <f>B1*(1-B2)</f>
        <v/>
      </c>
    </row>
    <row r="4">
      <c r="A4" t="inlineStr">
        <is>
          <t>Equity (book)</t>
        </is>
      </c>
      <c r="B4" t="n">
        <v>5101724000</v>
      </c>
    </row>
    <row r="5">
      <c r="A5" t="inlineStr">
        <is>
          <t>Debt</t>
        </is>
      </c>
      <c r="B5">
        <f>Inputs!B5</f>
        <v/>
      </c>
    </row>
    <row r="6">
      <c r="A6" t="inlineStr">
        <is>
          <t>Cash</t>
        </is>
      </c>
      <c r="B6">
        <f>Inputs!B4</f>
        <v/>
      </c>
    </row>
    <row r="7">
      <c r="A7" t="inlineStr">
        <is>
          <t>Invested capital</t>
        </is>
      </c>
      <c r="B7">
        <f>B4+B5-B6</f>
        <v/>
      </c>
    </row>
    <row r="8">
      <c r="A8" t="inlineStr">
        <is>
          <t>ROIC</t>
        </is>
      </c>
      <c r="B8">
        <f>IF(B7&gt;0,B3/B7,"n/m")</f>
        <v/>
      </c>
    </row>
    <row r="9">
      <c r="A9" t="inlineStr">
        <is>
          <t>Cost of equity (CAPM)</t>
        </is>
      </c>
      <c r="B9">
        <f>Inputs!B9+Inputs!B10*Inputs!B11</f>
        <v/>
      </c>
    </row>
    <row r="10">
      <c r="A10" t="inlineStr">
        <is>
          <t>WACC (equity-weighted approx.)</t>
        </is>
      </c>
      <c r="B10">
        <f>Inputs!B16</f>
        <v/>
      </c>
    </row>
    <row r="11">
      <c r="A11" t="inlineStr">
        <is>
          <t>ROIC − WACC spread</t>
        </is>
      </c>
      <c r="B11">
        <f>IF(ISNUMBER(B8),B8-B10,"n/m")</f>
        <v/>
      </c>
    </row>
    <row r="13">
      <c r="A13" t="inlineStr">
        <is>
          <t>Note: WACC uses CAPM cost of equity (debt weight ignored for simplicity; conservative for low-leverage names). ASSUMPTION.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Quarter</t>
        </is>
      </c>
      <c r="B1" s="1" t="inlineStr">
        <is>
          <t>Revenue</t>
        </is>
      </c>
      <c r="C1" s="1" t="inlineStr">
        <is>
          <t>Gross Profit</t>
        </is>
      </c>
      <c r="D1" s="1" t="inlineStr">
        <is>
          <t>Operating Income</t>
        </is>
      </c>
      <c r="E1" s="1" t="inlineStr">
        <is>
          <t>Net Income</t>
        </is>
      </c>
      <c r="F1" s="1" t="inlineStr">
        <is>
          <t>Op Cash Flow</t>
        </is>
      </c>
      <c r="G1" s="1" t="inlineStr">
        <is>
          <t>CapEx</t>
        </is>
      </c>
      <c r="H1" s="1" t="inlineStr">
        <is>
          <t>FCF</t>
        </is>
      </c>
      <c r="I1" s="1" t="inlineStr">
        <is>
          <t>Gross margin</t>
        </is>
      </c>
      <c r="J1" s="1" t="inlineStr">
        <is>
          <t>Op margin</t>
        </is>
      </c>
    </row>
    <row r="2">
      <c r="A2" t="inlineStr">
        <is>
          <t>2026-07-31</t>
        </is>
      </c>
      <c r="B2" t="n">
        <v>1470897000</v>
      </c>
      <c r="C2" t="n">
        <v>1096895000</v>
      </c>
      <c r="D2" t="n">
        <v>-33232000</v>
      </c>
      <c r="E2" t="n">
        <v>5306000</v>
      </c>
      <c r="F2" t="n">
        <v>530268000</v>
      </c>
      <c r="G2" t="n">
        <v>-153932000</v>
      </c>
      <c r="H2" t="n">
        <v>376336000</v>
      </c>
      <c r="I2">
        <f>IF(B2,C2/B2,"")</f>
        <v/>
      </c>
      <c r="J2">
        <f>IF(B2,D2/B2,"")</f>
        <v/>
      </c>
    </row>
    <row r="3">
      <c r="A3" t="inlineStr">
        <is>
          <t>2026-04-30</t>
        </is>
      </c>
      <c r="B3" t="n">
        <v>1385629000</v>
      </c>
      <c r="C3" t="n">
        <v>1043352000</v>
      </c>
      <c r="D3" t="n">
        <v>-30600000</v>
      </c>
      <c r="E3" t="n">
        <v>27774000</v>
      </c>
      <c r="F3" t="n">
        <v>590937000</v>
      </c>
      <c r="G3" t="n">
        <v>-120195000</v>
      </c>
      <c r="H3" t="n">
        <v>470742000</v>
      </c>
      <c r="I3">
        <f>IF(B3,C3/B3,"")</f>
        <v/>
      </c>
      <c r="J3">
        <f>IF(B3,D3/B3,"")</f>
        <v/>
      </c>
    </row>
    <row r="4">
      <c r="A4" t="inlineStr">
        <is>
          <t>2026-01-31</t>
        </is>
      </c>
      <c r="B4" t="n">
        <v>1305375000</v>
      </c>
      <c r="C4" t="n">
        <v>993677000</v>
      </c>
      <c r="D4" t="n">
        <v>13786000</v>
      </c>
      <c r="E4" t="n">
        <v>59377000</v>
      </c>
      <c r="F4" t="n">
        <v>497869000</v>
      </c>
      <c r="G4" t="n">
        <v>-119720000</v>
      </c>
      <c r="H4" t="n">
        <v>378149000</v>
      </c>
      <c r="I4">
        <f>IF(B4,C4/B4,"")</f>
        <v/>
      </c>
      <c r="J4">
        <f>IF(B4,D4/B4,"")</f>
        <v/>
      </c>
    </row>
    <row r="5">
      <c r="A5" t="inlineStr">
        <is>
          <t>2025-10-31</t>
        </is>
      </c>
      <c r="B5" t="n">
        <v>1234244000</v>
      </c>
      <c r="C5" t="n">
        <v>926439000</v>
      </c>
      <c r="D5" t="n">
        <v>-69443000</v>
      </c>
      <c r="E5" t="n">
        <v>-33997000</v>
      </c>
      <c r="F5" t="n">
        <v>397541000</v>
      </c>
      <c r="G5" t="n">
        <v>-100165000</v>
      </c>
      <c r="H5" t="n">
        <v>297376000</v>
      </c>
      <c r="I5">
        <f>IF(B5,C5/B5,"")</f>
        <v/>
      </c>
      <c r="J5">
        <f>IF(B5,D5/B5,"")</f>
        <v/>
      </c>
    </row>
    <row r="6">
      <c r="A6" t="inlineStr">
        <is>
          <t>2025-07-31</t>
        </is>
      </c>
      <c r="B6" t="n">
        <v>1168952000</v>
      </c>
      <c r="C6" t="n">
        <v>860401000</v>
      </c>
      <c r="D6" t="n">
        <v>-105457000</v>
      </c>
      <c r="E6" t="n">
        <v>-70153000</v>
      </c>
      <c r="F6" t="n">
        <v>332832000</v>
      </c>
      <c r="G6" t="n">
        <v>-47786000</v>
      </c>
      <c r="H6" t="n">
        <v>285046000</v>
      </c>
      <c r="I6">
        <f>IF(B6,C6/B6,"")</f>
        <v/>
      </c>
      <c r="J6">
        <f>IF(B6,D6/B6,"")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</t>
        </is>
      </c>
      <c r="B1" s="1" t="inlineStr">
        <is>
          <t>Value</t>
        </is>
      </c>
      <c r="C1" s="1" t="inlineStr">
        <is>
          <t>Source &amp; timestamp</t>
        </is>
      </c>
    </row>
    <row r="2">
      <c r="A2" t="inlineStr">
        <is>
          <t>Price 股价</t>
        </is>
      </c>
      <c r="B2" t="n">
        <v>263.01</v>
      </c>
      <c r="C2" t="inlineStr">
        <is>
          <t>Yahoo Finance quote, fetched 2026-10-13T18:12 SGT</t>
        </is>
      </c>
    </row>
    <row r="3">
      <c r="A3" t="inlineStr">
        <is>
          <t>Market cap 市值</t>
        </is>
      </c>
      <c r="B3" t="n">
        <v>269305118720</v>
      </c>
      <c r="C3" t="inlineStr">
        <is>
          <t>Yahoo info.marketCap 2026-10-13T18:12</t>
        </is>
      </c>
    </row>
    <row r="4">
      <c r="A4" t="inlineStr">
        <is>
          <t>Cash 现金</t>
        </is>
      </c>
      <c r="B4" t="n">
        <v>5013847040</v>
      </c>
      <c r="C4" t="inlineStr">
        <is>
          <t>Yahoo info.totalCash (latest filing) 2026-10-13T18:12</t>
        </is>
      </c>
    </row>
    <row r="5">
      <c r="A5" t="inlineStr">
        <is>
          <t>Debt 负债</t>
        </is>
      </c>
      <c r="B5" t="n">
        <v>820179008</v>
      </c>
      <c r="C5" t="inlineStr">
        <is>
          <t>Yahoo info.totalDebt (latest filing) 2026-10-13T18:12</t>
        </is>
      </c>
    </row>
    <row r="6">
      <c r="A6" t="inlineStr">
        <is>
          <t>Revenue TTM 收入</t>
        </is>
      </c>
      <c r="B6" t="n">
        <v>5396145152</v>
      </c>
      <c r="C6" t="inlineStr">
        <is>
          <t>Yahoo info.totalRevenue (TTM, USD) 2026-10-13T18:12</t>
        </is>
      </c>
    </row>
    <row r="7">
      <c r="A7" t="inlineStr">
        <is>
          <t>FCF TTM 自由现金流</t>
        </is>
      </c>
      <c r="B7" t="n">
        <v>1522603000</v>
      </c>
      <c r="C7" t="inlineStr">
        <is>
          <t>Sum of last 4 quarterly FCF (q_cash); quarters ['2026-07-31', '2026-04-30', '2026-01-31', '2025-10-31'] (USD)</t>
        </is>
      </c>
    </row>
    <row r="8">
      <c r="A8" t="inlineStr">
        <is>
          <t>Beta</t>
        </is>
      </c>
      <c r="B8" t="n">
        <v>1.197</v>
      </c>
      <c r="C8" t="inlineStr">
        <is>
          <t>Yahoo info.beta (5Y monthly)</t>
        </is>
      </c>
    </row>
    <row r="9">
      <c r="A9" t="inlineStr">
        <is>
          <t>Risk-free 10Y 无风险利率</t>
        </is>
      </c>
      <c r="B9" t="n">
        <v>0.0522</v>
      </c>
      <c r="C9" t="inlineStr">
        <is>
          <t>FRED DGS10 2026-10-08</t>
        </is>
      </c>
    </row>
    <row r="10">
      <c r="A10" t="inlineStr">
        <is>
          <t>FX USD per USD</t>
        </is>
      </c>
      <c r="B10" t="n">
        <v>1</v>
      </c>
      <c r="C10" t="inlineStr">
        <is>
          <t>n/a (USD)</t>
        </is>
      </c>
    </row>
    <row r="11">
      <c r="A11" t="inlineStr">
        <is>
          <t>Consensus rev growth FY0</t>
        </is>
      </c>
      <c r="B11" t="n">
        <v>0.2482</v>
      </c>
      <c r="C11" t="inlineStr">
        <is>
          <t>Yahoo revenue_estimate 0y</t>
        </is>
      </c>
    </row>
    <row r="12">
      <c r="A12" t="inlineStr">
        <is>
          <t>Consensus rev growth FY+1</t>
        </is>
      </c>
      <c r="B12" t="n">
        <v>0.22639999</v>
      </c>
      <c r="C12" t="inlineStr">
        <is>
          <t>Yahoo revenue_estimate +1y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Assumption</t>
        </is>
      </c>
      <c r="B1" s="1" t="inlineStr">
        <is>
          <t>Value</t>
        </is>
      </c>
      <c r="C1" s="1" t="inlineStr">
        <is>
          <t>Rationale / class</t>
        </is>
      </c>
    </row>
    <row r="2">
      <c r="A2" t="inlineStr">
        <is>
          <t>ERP 股权风险溢价</t>
        </is>
      </c>
      <c r="B2" t="n">
        <v>0.05</v>
      </c>
      <c r="C2" t="inlineStr">
        <is>
          <t>ASSUMPTION: 5.0% house mature-market ERP</t>
        </is>
      </c>
    </row>
    <row r="3">
      <c r="A3" t="inlineStr">
        <is>
          <t>Beta clamp</t>
        </is>
      </c>
      <c r="B3" t="inlineStr">
        <is>
          <t>[0.8,1.6] → 1.20</t>
        </is>
      </c>
      <c r="C3" t="inlineStr">
        <is>
          <t>ASSUMPTION: limit extreme betas</t>
        </is>
      </c>
    </row>
    <row r="4">
      <c r="A4" t="inlineStr">
        <is>
          <t>Tax rate (ROIC)</t>
        </is>
      </c>
      <c r="B4" t="n">
        <v>0.18</v>
      </c>
      <c r="C4" t="inlineStr">
        <is>
          <t>ASSUMPTION: blended cash tax 18%</t>
        </is>
      </c>
    </row>
    <row r="5">
      <c r="A5" t="inlineStr">
        <is>
          <t>Year-1 growth (Base)</t>
        </is>
      </c>
      <c r="B5" t="n">
        <v>0.22639999</v>
      </c>
      <c r="C5" t="inlineStr">
        <is>
          <t>Consensus FY+1 revenue growth (Yahoo revenue_estimate '+1y'); capped at 100%</t>
        </is>
      </c>
    </row>
    <row r="6">
      <c r="A6" t="inlineStr">
        <is>
          <t>Growth fade</t>
        </is>
      </c>
      <c r="B6" t="inlineStr">
        <is>
          <t>linear Y1→terminal by Y10</t>
        </is>
      </c>
      <c r="C6" t="inlineStr">
        <is>
          <t>ASSUMPTION</t>
        </is>
      </c>
    </row>
    <row r="7">
      <c r="A7" t="inlineStr">
        <is>
          <t>Starting FCF margin</t>
        </is>
      </c>
      <c r="B7" t="n">
        <v>0.2821649449951638</v>
      </c>
      <c r="C7" t="inlineStr">
        <is>
          <t>DATA: FCF TTM / Revenue TTM, floored -50%</t>
        </is>
      </c>
    </row>
    <row r="8">
      <c r="A8" t="inlineStr">
        <is>
          <t>Long-run FCF margin (Base)</t>
        </is>
      </c>
      <c r="B8" t="n">
        <v>0.32</v>
      </c>
      <c r="C8" t="inlineStr">
        <is>
          <t>ASSUMPTION (analyst framework, reached by Y5; see profile)</t>
        </is>
      </c>
    </row>
    <row r="9">
      <c r="A9" t="inlineStr">
        <is>
          <t>Bear/Bull Y1 growth multiplier</t>
        </is>
      </c>
      <c r="B9" t="inlineStr">
        <is>
          <t>0.5x / 1.3x</t>
        </is>
      </c>
      <c r="C9" t="inlineStr">
        <is>
          <t>ASSUMPTION</t>
        </is>
      </c>
    </row>
    <row r="10">
      <c r="A10" t="inlineStr">
        <is>
          <t>Bear/Bull margin multiplier</t>
        </is>
      </c>
      <c r="B10" t="inlineStr">
        <is>
          <t>0.8x / 1.15x</t>
        </is>
      </c>
      <c r="C10" t="inlineStr">
        <is>
          <t>ASSUMPTION</t>
        </is>
      </c>
    </row>
    <row r="11">
      <c r="A11" t="inlineStr">
        <is>
          <t>WACC adj Bear/Bull</t>
        </is>
      </c>
      <c r="B11" t="inlineStr">
        <is>
          <t>+1.0pp / -0.5pp</t>
        </is>
      </c>
      <c r="C11" t="inlineStr">
        <is>
          <t>ASSUMPTION</t>
        </is>
      </c>
    </row>
    <row r="12">
      <c r="A12" t="inlineStr">
        <is>
          <t>Terminal g Bear/Base/Bull</t>
        </is>
      </c>
      <c r="B12" t="inlineStr">
        <is>
          <t>2.5% / 3.0% / 3.5%</t>
        </is>
      </c>
      <c r="C12" t="inlineStr">
        <is>
          <t>ASSUMPTION</t>
        </is>
      </c>
    </row>
    <row r="13">
      <c r="A13" t="inlineStr">
        <is>
          <t>Scenario probabilities</t>
        </is>
      </c>
      <c r="B13" t="inlineStr">
        <is>
          <t>25% / 50% / 25%</t>
        </is>
      </c>
      <c r="C13" t="inlineStr">
        <is>
          <t>ASSUMPTION</t>
        </is>
      </c>
    </row>
    <row r="14">
      <c r="A14" t="inlineStr">
        <is>
          <t>Horizon exit EV/NTM-FCF Bear/Base/Bull</t>
        </is>
      </c>
      <c r="B14" t="inlineStr">
        <is>
          <t>15x / 25x / 35x</t>
        </is>
      </c>
      <c r="C14" t="inlineStr">
        <is>
          <t>ASSUMPTION</t>
        </is>
      </c>
    </row>
    <row r="15">
      <c r="A15" t="inlineStr">
        <is>
          <t>Per-share conversion</t>
        </is>
      </c>
      <c r="B15" t="inlineStr">
        <is>
          <t>value × fx ÷ market cap × price</t>
        </is>
      </c>
      <c r="C15" t="inlineStr">
        <is>
          <t>METHOD: avoids ADR/share-class mismatch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2026-10-13T10:12:45Z</dcterms:created>
  <dcterms:modified xmlns:dcterms="http://purl.org/dc/terms/" xmlns:xsi="http://www.w3.org/2001/XMLSchema-instance" xsi:type="dcterms:W3CDTF">2026-10-13T10:12:45Z</dcterms:modified>
</cp:coreProperties>
</file>