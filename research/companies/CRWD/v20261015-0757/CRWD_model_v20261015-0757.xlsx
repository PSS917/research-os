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CRWD Valuation Model｜估值模型 — as of 2026-10-15 07:57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249.29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255256707072</v>
      </c>
      <c r="C3" t="inlineStr">
        <is>
          <t>DATA</t>
        </is>
      </c>
    </row>
    <row r="4">
      <c r="A4" t="inlineStr">
        <is>
          <t>Cash</t>
        </is>
      </c>
      <c r="B4" s="2" t="n">
        <v>5013847040</v>
      </c>
      <c r="C4" t="inlineStr">
        <is>
          <t>DATA</t>
        </is>
      </c>
    </row>
    <row r="5">
      <c r="A5" t="inlineStr">
        <is>
          <t>Debt</t>
        </is>
      </c>
      <c r="B5" s="2" t="n">
        <v>820179008</v>
      </c>
      <c r="C5" t="inlineStr">
        <is>
          <t>DATA</t>
        </is>
      </c>
    </row>
    <row r="6">
      <c r="A6" t="inlineStr">
        <is>
          <t>RevenueTTM</t>
        </is>
      </c>
      <c r="B6" s="2" t="n">
        <v>5396145152</v>
      </c>
      <c r="C6" t="inlineStr">
        <is>
          <t>DATA</t>
        </is>
      </c>
    </row>
    <row r="7">
      <c r="A7" t="inlineStr">
        <is>
          <t>FCF_TTM</t>
        </is>
      </c>
      <c r="B7" s="2" t="n">
        <v>1522603000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0.0521</v>
      </c>
      <c r="C9" t="inlineStr">
        <is>
          <t>DATA</t>
        </is>
      </c>
    </row>
    <row r="10">
      <c r="A10" t="inlineStr">
        <is>
          <t>Beta</t>
        </is>
      </c>
      <c r="B10" s="2" t="n">
        <v>1.197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0.22709998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0.32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Subscription 订阅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Professional services 专业服务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Total EV</t>
        </is>
      </c>
      <c r="D4">
        <f>SUM(D2:D3)</f>
        <v/>
      </c>
    </row>
    <row r="5">
      <c r="A5" t="inlineStr">
        <is>
          <t>Equity value</t>
        </is>
      </c>
      <c r="D5">
        <f>D4+Inputs!B17</f>
        <v/>
      </c>
    </row>
    <row r="6">
      <c r="A6" t="inlineStr">
        <is>
          <t>Value/share USD</t>
        </is>
      </c>
      <c r="D6">
        <f>D5*Inputs!B8/Inputs!B3*Inputs!B2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PANW</t>
        </is>
      </c>
      <c r="B2" s="2" t="n">
        <v>306782732288</v>
      </c>
      <c r="C2" s="2" t="n">
        <v>306278727680</v>
      </c>
      <c r="D2" s="2" t="n">
        <v>26.679</v>
      </c>
      <c r="E2" s="2" t="n">
        <v>76.86711</v>
      </c>
      <c r="F2" s="2" t="n">
        <v>0.345</v>
      </c>
      <c r="G2" s="2" t="n">
        <v>0.70383</v>
      </c>
      <c r="H2" s="2" t="n">
        <v>0.01382289304346832</v>
      </c>
    </row>
    <row r="3">
      <c r="A3" t="inlineStr">
        <is>
          <t>ZS</t>
        </is>
      </c>
      <c r="B3" s="2" t="n">
        <v>36000845824</v>
      </c>
      <c r="C3" s="2" t="n">
        <v>34394681344</v>
      </c>
      <c r="D3" s="2" t="n">
        <v>10.259</v>
      </c>
      <c r="E3" s="2" t="n">
        <v>39.263</v>
      </c>
      <c r="F3" s="2" t="n">
        <v>0.249</v>
      </c>
      <c r="G3" s="2" t="n">
        <v>0.76872003</v>
      </c>
      <c r="H3" s="2" t="n">
        <v>0.02985807181461848</v>
      </c>
    </row>
    <row r="4">
      <c r="A4" t="inlineStr">
        <is>
          <t>S</t>
        </is>
      </c>
      <c r="B4" s="2" t="n">
        <v>7942480896</v>
      </c>
      <c r="C4" s="2" t="n">
        <v>7287233024</v>
      </c>
      <c r="D4" s="2" t="n">
        <v>6.633</v>
      </c>
      <c r="E4" s="2" t="n">
        <v>49.51075</v>
      </c>
      <c r="F4" s="2" t="n">
        <v>0.206</v>
      </c>
      <c r="G4" s="2" t="n">
        <v>0.72540003</v>
      </c>
      <c r="H4" s="2" t="n">
        <v>0.03737882959838346</v>
      </c>
    </row>
    <row r="5">
      <c r="A5" t="inlineStr">
        <is>
          <t>PLTR</t>
        </is>
      </c>
      <c r="B5" s="2" t="n">
        <v>482942648320</v>
      </c>
      <c r="C5" s="2" t="n">
        <v>473855655936</v>
      </c>
      <c r="D5" s="2" t="n">
        <v>76.97499999999999</v>
      </c>
      <c r="E5" s="2" t="n">
        <v>85.46314</v>
      </c>
      <c r="F5" s="2" t="n">
        <v>0.928</v>
      </c>
      <c r="G5" s="2" t="n">
        <v>0.84796</v>
      </c>
      <c r="H5" s="2" t="n">
        <v>0.004470726533493823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2026-10-15 07:57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104214000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5101724000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2026-07-31</t>
        </is>
      </c>
      <c r="B2" t="n">
        <v>1470897000</v>
      </c>
      <c r="C2" t="n">
        <v>1096895000</v>
      </c>
      <c r="D2" t="n">
        <v>-33232000</v>
      </c>
      <c r="E2" t="n">
        <v>5306000</v>
      </c>
      <c r="F2" t="n">
        <v>530268000</v>
      </c>
      <c r="G2" t="n">
        <v>-153932000</v>
      </c>
      <c r="H2" t="n">
        <v>376336000</v>
      </c>
      <c r="I2">
        <f>IF(B2,C2/B2,"")</f>
        <v/>
      </c>
      <c r="J2">
        <f>IF(B2,D2/B2,"")</f>
        <v/>
      </c>
    </row>
    <row r="3">
      <c r="A3" t="inlineStr">
        <is>
          <t>2026-04-30</t>
        </is>
      </c>
      <c r="B3" t="n">
        <v>1385629000</v>
      </c>
      <c r="C3" t="n">
        <v>1043352000</v>
      </c>
      <c r="D3" t="n">
        <v>-30600000</v>
      </c>
      <c r="E3" t="n">
        <v>27774000</v>
      </c>
      <c r="F3" t="n">
        <v>590937000</v>
      </c>
      <c r="G3" t="n">
        <v>-120195000</v>
      </c>
      <c r="H3" t="n">
        <v>470742000</v>
      </c>
      <c r="I3">
        <f>IF(B3,C3/B3,"")</f>
        <v/>
      </c>
      <c r="J3">
        <f>IF(B3,D3/B3,"")</f>
        <v/>
      </c>
    </row>
    <row r="4">
      <c r="A4" t="inlineStr">
        <is>
          <t>2026-01-31</t>
        </is>
      </c>
      <c r="B4" t="n">
        <v>1305375000</v>
      </c>
      <c r="C4" t="n">
        <v>993677000</v>
      </c>
      <c r="D4" t="n">
        <v>13786000</v>
      </c>
      <c r="E4" t="n">
        <v>59377000</v>
      </c>
      <c r="F4" t="n">
        <v>497869000</v>
      </c>
      <c r="G4" t="n">
        <v>-119720000</v>
      </c>
      <c r="H4" t="n">
        <v>378149000</v>
      </c>
      <c r="I4">
        <f>IF(B4,C4/B4,"")</f>
        <v/>
      </c>
      <c r="J4">
        <f>IF(B4,D4/B4,"")</f>
        <v/>
      </c>
    </row>
    <row r="5">
      <c r="A5" t="inlineStr">
        <is>
          <t>2025-10-31</t>
        </is>
      </c>
      <c r="B5" t="n">
        <v>1234244000</v>
      </c>
      <c r="C5" t="n">
        <v>926439000</v>
      </c>
      <c r="D5" t="n">
        <v>-69443000</v>
      </c>
      <c r="E5" t="n">
        <v>-33997000</v>
      </c>
      <c r="F5" t="n">
        <v>397541000</v>
      </c>
      <c r="G5" t="n">
        <v>-100165000</v>
      </c>
      <c r="H5" t="n">
        <v>297376000</v>
      </c>
      <c r="I5">
        <f>IF(B5,C5/B5,"")</f>
        <v/>
      </c>
      <c r="J5">
        <f>IF(B5,D5/B5,"")</f>
        <v/>
      </c>
    </row>
    <row r="6">
      <c r="A6" t="inlineStr">
        <is>
          <t>2025-07-31</t>
        </is>
      </c>
      <c r="B6" t="n">
        <v>1168952000</v>
      </c>
      <c r="C6" t="n">
        <v>860401000</v>
      </c>
      <c r="D6" t="n">
        <v>-105457000</v>
      </c>
      <c r="E6" t="n">
        <v>-70153000</v>
      </c>
      <c r="F6" t="n">
        <v>332832000</v>
      </c>
      <c r="G6" t="n">
        <v>-47786000</v>
      </c>
      <c r="H6" t="n">
        <v>285046000</v>
      </c>
      <c r="I6">
        <f>IF(B6,C6/B6,"")</f>
        <v/>
      </c>
      <c r="J6">
        <f>IF(B6,D6/B6,"")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249.29</v>
      </c>
      <c r="C2" t="inlineStr">
        <is>
          <t>Yahoo Finance quote, fetched 2026-10-15T07:57 SGT</t>
        </is>
      </c>
    </row>
    <row r="3">
      <c r="A3" t="inlineStr">
        <is>
          <t>Market cap 市值</t>
        </is>
      </c>
      <c r="B3" t="n">
        <v>255256707072</v>
      </c>
      <c r="C3" t="inlineStr">
        <is>
          <t>Yahoo info.marketCap 2026-10-15T07:57</t>
        </is>
      </c>
    </row>
    <row r="4">
      <c r="A4" t="inlineStr">
        <is>
          <t>Cash 现金</t>
        </is>
      </c>
      <c r="B4" t="n">
        <v>5013847040</v>
      </c>
      <c r="C4" t="inlineStr">
        <is>
          <t>Yahoo info.totalCash (latest filing) 2026-10-15T07:57</t>
        </is>
      </c>
    </row>
    <row r="5">
      <c r="A5" t="inlineStr">
        <is>
          <t>Debt 负债</t>
        </is>
      </c>
      <c r="B5" t="n">
        <v>820179008</v>
      </c>
      <c r="C5" t="inlineStr">
        <is>
          <t>Yahoo info.totalDebt (latest filing) 2026-10-15T07:57</t>
        </is>
      </c>
    </row>
    <row r="6">
      <c r="A6" t="inlineStr">
        <is>
          <t>Revenue TTM 收入</t>
        </is>
      </c>
      <c r="B6" t="n">
        <v>5396145152</v>
      </c>
      <c r="C6" t="inlineStr">
        <is>
          <t>Yahoo info.totalRevenue (TTM, USD) 2026-10-15T07:57</t>
        </is>
      </c>
    </row>
    <row r="7">
      <c r="A7" t="inlineStr">
        <is>
          <t>FCF TTM 自由现金流</t>
        </is>
      </c>
      <c r="B7" t="n">
        <v>1522603000</v>
      </c>
      <c r="C7" t="inlineStr">
        <is>
          <t>Sum of last 4 quarterly FCF (q_cash); quarters ['2026-07-31', '2026-04-30', '2026-01-31', '2025-10-31'] (USD)</t>
        </is>
      </c>
    </row>
    <row r="8">
      <c r="A8" t="inlineStr">
        <is>
          <t>Beta</t>
        </is>
      </c>
      <c r="B8" t="n">
        <v>1.197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0.0521</v>
      </c>
      <c r="C9" t="inlineStr">
        <is>
          <t>FRED DGS10 2026-10-13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0.2484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0.22709998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1.20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0.22709998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0.2821649449951638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0.32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2026-10-14T23:58:11Z</dcterms:created>
  <dcterms:modified xmlns:dcterms="http://purl.org/dc/terms/" xmlns:xsi="http://www.w3.org/2001/XMLSchema-instance" xsi:type="dcterms:W3CDTF">2026-10-14T23:58:11Z</dcterms:modified>
</cp:coreProperties>
</file>