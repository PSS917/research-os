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MXL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78.81999999999999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7148437504</v>
      </c>
      <c r="C3" t="inlineStr">
        <is>
          <t>DATA</t>
        </is>
      </c>
    </row>
    <row r="4">
      <c r="A4" t="inlineStr">
        <is>
          <t>Cash</t>
        </is>
      </c>
      <c r="B4" s="2" t="n">
        <v>64814000</v>
      </c>
      <c r="C4" t="inlineStr">
        <is>
          <t>DATA</t>
        </is>
      </c>
    </row>
    <row r="5">
      <c r="A5" t="inlineStr">
        <is>
          <t>Debt</t>
        </is>
      </c>
      <c r="B5" s="2" t="n">
        <v>148196992</v>
      </c>
      <c r="C5" t="inlineStr">
        <is>
          <t>DATA</t>
        </is>
      </c>
    </row>
    <row r="6">
      <c r="A6" t="inlineStr">
        <is>
          <t>RevenueTTM</t>
        </is>
      </c>
      <c r="B6" s="2" t="n">
        <v>568929984</v>
      </c>
      <c r="C6" t="inlineStr">
        <is>
          <t>DATA</t>
        </is>
      </c>
    </row>
    <row r="7">
      <c r="A7" t="inlineStr">
        <is>
          <t>FCF_TTM</t>
        </is>
      </c>
      <c r="B7" s="2" t="n">
        <v>653000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0.2988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Broadband 宽带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Connectivity 连接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Infrastructure (Keystone PAM4 DSP, storage accel.) 基础设施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Total EV</t>
        </is>
      </c>
      <c r="D5">
        <f>SUM(D2:D4)</f>
        <v/>
      </c>
    </row>
    <row r="6">
      <c r="A6" t="inlineStr">
        <is>
          <t>Equity value</t>
        </is>
      </c>
      <c r="D6">
        <f>D5+Inputs!B17</f>
        <v/>
      </c>
    </row>
    <row r="7">
      <c r="A7" t="inlineStr">
        <is>
          <t>Value/share USD</t>
        </is>
      </c>
      <c r="D7">
        <f>D6*Inputs!B8/Inputs!B3*Inputs!B2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MRVL</t>
        </is>
      </c>
      <c r="B2" s="2" t="n">
        <v>220434268160</v>
      </c>
      <c r="C2" s="2" t="n">
        <v>216439324672</v>
      </c>
      <c r="D2" s="2" t="n">
        <v>22.903</v>
      </c>
      <c r="E2" s="2" t="n">
        <v>33.61727</v>
      </c>
      <c r="F2" s="2" t="n">
        <v>0.365</v>
      </c>
      <c r="G2" s="2" t="n">
        <v>0.52216</v>
      </c>
      <c r="H2" s="2" t="n">
        <v>0.01092411783385758</v>
      </c>
    </row>
    <row r="3">
      <c r="A3" t="inlineStr">
        <is>
          <t>CRDO</t>
        </is>
      </c>
      <c r="B3" s="2" t="n">
        <v>33685684224</v>
      </c>
      <c r="C3" s="2" t="n">
        <v>32909099008</v>
      </c>
      <c r="D3" s="2" t="n">
        <v>20.684</v>
      </c>
      <c r="E3" s="2" t="n">
        <v>18.49467</v>
      </c>
      <c r="F3" s="2" t="n">
        <v>1.147</v>
      </c>
      <c r="G3" s="2" t="n">
        <v>0.67067003</v>
      </c>
      <c r="H3" s="2" t="n">
        <v>0.007370813023981876</v>
      </c>
    </row>
    <row r="4">
      <c r="A4" t="inlineStr">
        <is>
          <t>AVGO</t>
        </is>
      </c>
      <c r="B4" s="2" t="n">
        <v>1652869431296</v>
      </c>
      <c r="C4" s="2" t="n">
        <v>1688313397248</v>
      </c>
      <c r="D4" s="2" t="n">
        <v>18.948</v>
      </c>
      <c r="E4" s="2" t="n">
        <v>17.853626</v>
      </c>
      <c r="F4" s="2" t="n">
        <v>0.855</v>
      </c>
      <c r="G4" s="2" t="n">
        <v>0.75515</v>
      </c>
      <c r="H4" s="2" t="n">
        <v>0.01851114121701045</v>
      </c>
    </row>
    <row r="5">
      <c r="A5" t="inlineStr">
        <is>
          <t>SIMO</t>
        </is>
      </c>
      <c r="B5" s="2" t="n">
        <v>7581203456</v>
      </c>
      <c r="C5" s="2" t="n">
        <v>7579214848</v>
      </c>
      <c r="D5" s="2" t="n">
        <v>5.77</v>
      </c>
      <c r="E5" s="2" t="n">
        <v>14.085785</v>
      </c>
      <c r="F5" s="2" t="n">
        <v>1.27</v>
      </c>
      <c r="G5" s="2" t="n">
        <v>0.48869</v>
      </c>
      <c r="H5" s="2" t="n">
        <v>-0.02596556828246135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-76887000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484840000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168847000</v>
      </c>
      <c r="C2" t="n">
        <v>97663000</v>
      </c>
      <c r="D2" t="n">
        <v>-4121000</v>
      </c>
      <c r="E2" t="n">
        <v>1760000</v>
      </c>
      <c r="F2" t="n">
        <v>4809000</v>
      </c>
      <c r="G2" t="n">
        <v>-3148000</v>
      </c>
      <c r="H2" t="n">
        <v>1661000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137188000</v>
      </c>
      <c r="C3" t="n">
        <v>78884000</v>
      </c>
      <c r="D3" t="n">
        <v>-16735000</v>
      </c>
      <c r="E3" t="n">
        <v>-45137000</v>
      </c>
      <c r="F3" t="n">
        <v>-8872000</v>
      </c>
      <c r="G3" t="n">
        <v>-2239000</v>
      </c>
      <c r="H3" t="n">
        <v>-11111000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136436000</v>
      </c>
      <c r="C4" t="n">
        <v>78557000</v>
      </c>
      <c r="D4" t="n">
        <v>-15090000</v>
      </c>
      <c r="E4" t="n">
        <v>-14897000</v>
      </c>
      <c r="F4" t="n">
        <v>10406000</v>
      </c>
      <c r="G4" t="n">
        <v>-3686000</v>
      </c>
      <c r="H4" t="n">
        <v>6720000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126459000</v>
      </c>
      <c r="C5" t="n">
        <v>71901000</v>
      </c>
      <c r="D5" t="n">
        <v>-30025000</v>
      </c>
      <c r="E5" t="n">
        <v>-45485000</v>
      </c>
      <c r="F5" t="n">
        <v>10124000</v>
      </c>
      <c r="G5" t="n">
        <v>-6741000</v>
      </c>
      <c r="H5" t="n">
        <v>3383000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108813000</v>
      </c>
      <c r="C6" t="n">
        <v>61525000</v>
      </c>
      <c r="D6" t="n">
        <v>-19035000</v>
      </c>
      <c r="E6" t="n">
        <v>-26586000</v>
      </c>
      <c r="F6" t="n">
        <v>10489000</v>
      </c>
      <c r="G6" t="n">
        <v>-7379000</v>
      </c>
      <c r="H6" t="n">
        <v>3110000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78.81999999999999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7148437504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64814000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148196992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568929984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653000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3.94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0.5782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0.2988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0.2988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0.001147768650562105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2026-10-14T23:58:17Z</dcterms:created>
  <dcterms:modified xmlns:dcterms="http://purl.org/dc/terms/" xmlns:xsi="http://www.w3.org/2001/XMLSchema-instance" xsi:type="dcterms:W3CDTF">2026-10-14T23:58:17Z</dcterms:modified>
</cp:coreProperties>
</file>