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AMAT Valuation Model｜估值模型 — as of 2026-10-17 07:55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409.29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324811489280</v>
      </c>
      <c r="C3" t="inlineStr">
        <is>
          <t>DATA</t>
        </is>
      </c>
    </row>
    <row r="4">
      <c r="A4" t="inlineStr">
        <is>
          <t>Cash</t>
        </is>
      </c>
      <c r="B4" s="2" t="n">
        <v>9233000448</v>
      </c>
      <c r="C4" t="inlineStr">
        <is>
          <t>DATA</t>
        </is>
      </c>
    </row>
    <row r="5">
      <c r="A5" t="inlineStr">
        <is>
          <t>Debt</t>
        </is>
      </c>
      <c r="B5" s="2" t="n">
        <v>7345999872</v>
      </c>
      <c r="C5" t="inlineStr">
        <is>
          <t>DATA</t>
        </is>
      </c>
    </row>
    <row r="6">
      <c r="A6" t="inlineStr">
        <is>
          <t>RevenueTTM</t>
        </is>
      </c>
      <c r="B6" s="2" t="n">
        <v>30837000192</v>
      </c>
      <c r="C6" t="inlineStr">
        <is>
          <t>DATA</t>
        </is>
      </c>
    </row>
    <row r="7">
      <c r="A7" t="inlineStr">
        <is>
          <t>FCF_TTM</t>
        </is>
      </c>
      <c r="B7" s="2" t="n">
        <v>5623000000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</v>
      </c>
      <c r="C9" t="inlineStr">
        <is>
          <t>DATA</t>
        </is>
      </c>
    </row>
    <row r="10">
      <c r="A10" t="inlineStr">
        <is>
          <t>Beta</t>
        </is>
      </c>
      <c r="B10" s="2" t="n">
        <v>1.591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0.3518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Semiconductor Systems 半导体系统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Applied Global Services 服务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Display 显示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LRCX</t>
        </is>
      </c>
      <c r="B2" s="2" t="n">
        <v>330300948480</v>
      </c>
      <c r="C2" s="2" t="n">
        <v>328816066560</v>
      </c>
      <c r="D2" s="2" t="n">
        <v>14.153</v>
      </c>
      <c r="E2" s="2" t="n">
        <v>22.433023</v>
      </c>
      <c r="F2" s="2" t="n">
        <v>0.3</v>
      </c>
      <c r="G2" s="2" t="n">
        <v>0.50469</v>
      </c>
      <c r="H2" s="2" t="n">
        <v>0.00935657161816213</v>
      </c>
    </row>
    <row r="3">
      <c r="A3" t="inlineStr">
        <is>
          <t>KLAC</t>
        </is>
      </c>
      <c r="B3" s="2" t="n">
        <v>216291770368</v>
      </c>
      <c r="C3" s="2" t="n">
        <v>217796362240</v>
      </c>
      <c r="D3" s="2" t="n">
        <v>16.039</v>
      </c>
      <c r="E3" s="2" t="n">
        <v>24.589083</v>
      </c>
      <c r="F3" s="2" t="n">
        <v>0.152</v>
      </c>
      <c r="G3" s="2" t="n">
        <v>0.6130100000000001</v>
      </c>
      <c r="H3" s="2" t="n">
        <v>0.01213447703319693</v>
      </c>
    </row>
    <row r="4">
      <c r="A4" t="inlineStr">
        <is>
          <t>ASML</t>
        </is>
      </c>
      <c r="B4" s="2" t="n">
        <v>630507831296</v>
      </c>
      <c r="C4" s="2" t="n">
        <v>34926246232064</v>
      </c>
      <c r="D4" s="2" t="n">
        <v>884.802</v>
      </c>
      <c r="E4" s="2" t="n">
        <v>26.175589</v>
      </c>
      <c r="F4" s="2" t="n">
        <v>0.552</v>
      </c>
      <c r="G4" s="2" t="n">
        <v>0.54337</v>
      </c>
      <c r="H4" s="2" t="n">
        <v>0.01645360141312778</v>
      </c>
    </row>
    <row r="5">
      <c r="A5" t="inlineStr">
        <is>
          <t>8035.T</t>
        </is>
      </c>
      <c r="B5" s="2" t="n">
        <v>4825674153984</v>
      </c>
      <c r="C5" s="2" t="n">
        <v>23755103404032</v>
      </c>
      <c r="D5" s="2" t="n">
        <v>9.045</v>
      </c>
      <c r="E5" s="2" t="n">
        <v>8.303390500000001</v>
      </c>
      <c r="F5" s="2" t="n">
        <v>0.333</v>
      </c>
      <c r="G5" s="2" t="n">
        <v>0.45562</v>
      </c>
      <c r="H5" s="2" t="n">
        <v>0.0615815513019376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2026-10-17 07:55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11104000000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25626000000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9115000000</v>
      </c>
      <c r="C2" t="n">
        <v>4586000000</v>
      </c>
      <c r="D2" t="n">
        <v>3075000000</v>
      </c>
      <c r="E2" t="n">
        <v>2538000000</v>
      </c>
      <c r="F2" t="n">
        <v>3037000000</v>
      </c>
      <c r="G2" t="n">
        <v>-707000000</v>
      </c>
      <c r="H2" t="n">
        <v>2330000000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7910000000</v>
      </c>
      <c r="C3" t="n">
        <v>3947000000</v>
      </c>
      <c r="D3" t="n">
        <v>2523000000</v>
      </c>
      <c r="E3" t="n">
        <v>2806000000</v>
      </c>
      <c r="F3" t="n">
        <v>845000000</v>
      </c>
      <c r="G3" t="n">
        <v>-635000000</v>
      </c>
      <c r="H3" t="n">
        <v>210000000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7012000000</v>
      </c>
      <c r="C4" t="n">
        <v>3435000000</v>
      </c>
      <c r="D4" t="n">
        <v>2096000000</v>
      </c>
      <c r="E4" t="n">
        <v>2026000000</v>
      </c>
      <c r="F4" t="n">
        <v>1686000000</v>
      </c>
      <c r="G4" t="n">
        <v>-646000000</v>
      </c>
      <c r="H4" t="n">
        <v>1040000000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6800000000</v>
      </c>
      <c r="C5" t="n">
        <v>3265000000</v>
      </c>
      <c r="D5" t="n">
        <v>1893000000</v>
      </c>
      <c r="E5" t="n">
        <v>1897000000</v>
      </c>
      <c r="F5" t="n">
        <v>2828000000</v>
      </c>
      <c r="G5" t="n">
        <v>-785000000</v>
      </c>
      <c r="H5" t="n">
        <v>2043000000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7302000000</v>
      </c>
      <c r="C6" t="n">
        <v>3562000000</v>
      </c>
      <c r="D6" t="n">
        <v>2233000000</v>
      </c>
      <c r="E6" t="n">
        <v>1779000000</v>
      </c>
      <c r="F6" t="n">
        <v>2634000000</v>
      </c>
      <c r="G6" t="n">
        <v>-584000000</v>
      </c>
      <c r="H6" t="n">
        <v>2050000000</v>
      </c>
      <c r="I6">
        <f>IF(B6,C6/B6,"")</f>
        <v/>
      </c>
      <c r="J6">
        <f>IF(B6,D6/B6,"")</f>
        <v/>
      </c>
    </row>
    <row r="7">
      <c r="A7" t="inlineStr">
        <is>
          <t>2025-04-30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409.29</v>
      </c>
      <c r="C2" t="inlineStr">
        <is>
          <t>Yahoo Finance quote, fetched 2026-10-17T07:55 SGT</t>
        </is>
      </c>
    </row>
    <row r="3">
      <c r="A3" t="inlineStr">
        <is>
          <t>Market cap 市值</t>
        </is>
      </c>
      <c r="B3" t="n">
        <v>324811489280</v>
      </c>
      <c r="C3" t="inlineStr">
        <is>
          <t>Yahoo info.marketCap 2026-10-17T07:55</t>
        </is>
      </c>
    </row>
    <row r="4">
      <c r="A4" t="inlineStr">
        <is>
          <t>Cash 现金</t>
        </is>
      </c>
      <c r="B4" t="n">
        <v>9233000448</v>
      </c>
      <c r="C4" t="inlineStr">
        <is>
          <t>Yahoo info.totalCash (latest filing) 2026-10-17T07:55</t>
        </is>
      </c>
    </row>
    <row r="5">
      <c r="A5" t="inlineStr">
        <is>
          <t>Debt 负债</t>
        </is>
      </c>
      <c r="B5" t="n">
        <v>7345999872</v>
      </c>
      <c r="C5" t="inlineStr">
        <is>
          <t>Yahoo info.totalDebt (latest filing) 2026-10-17T07:55</t>
        </is>
      </c>
    </row>
    <row r="6">
      <c r="A6" t="inlineStr">
        <is>
          <t>Revenue TTM 收入</t>
        </is>
      </c>
      <c r="B6" t="n">
        <v>30837000192</v>
      </c>
      <c r="C6" t="inlineStr">
        <is>
          <t>Yahoo info.totalRevenue (TTM, USD) 2026-10-17T07:55</t>
        </is>
      </c>
    </row>
    <row r="7">
      <c r="A7" t="inlineStr">
        <is>
          <t>FCF TTM 自由现金流</t>
        </is>
      </c>
      <c r="B7" t="n">
        <v>5623000000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1.591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</v>
      </c>
      <c r="C9" t="inlineStr">
        <is>
          <t>FRED DGS10 2026-10-15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0.2077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0.3518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1.59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0.3518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0.1823458820569313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2026-10-16T23:57:01Z</dcterms:created>
  <dcterms:modified xmlns:dcterms="http://purl.org/dc/terms/" xmlns:xsi="http://www.w3.org/2001/XMLSchema-instance" xsi:type="dcterms:W3CDTF">2026-10-16T23:57:01Z</dcterms:modified>
</cp:coreProperties>
</file>