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MU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953.1900000000001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1078461333504</v>
      </c>
      <c r="C3" t="inlineStr">
        <is>
          <t>DATA</t>
        </is>
      </c>
    </row>
    <row r="4">
      <c r="A4" t="inlineStr">
        <is>
          <t>Cash</t>
        </is>
      </c>
      <c r="B4" s="2" t="n">
        <v>43434000384</v>
      </c>
      <c r="C4" t="inlineStr">
        <is>
          <t>DATA</t>
        </is>
      </c>
    </row>
    <row r="5">
      <c r="A5" t="inlineStr">
        <is>
          <t>Debt</t>
        </is>
      </c>
      <c r="B5" s="2" t="n">
        <v>5178999808</v>
      </c>
      <c r="C5" t="inlineStr">
        <is>
          <t>DATA</t>
        </is>
      </c>
    </row>
    <row r="6">
      <c r="A6" t="inlineStr">
        <is>
          <t>RevenueTTM</t>
        </is>
      </c>
      <c r="B6" s="2" t="n">
        <v>133188001792</v>
      </c>
      <c r="C6" t="inlineStr">
        <is>
          <t>DATA</t>
        </is>
      </c>
    </row>
    <row r="7">
      <c r="A7" t="inlineStr">
        <is>
          <t>FCF_TTM</t>
        </is>
      </c>
      <c r="B7" s="2" t="n">
        <v>26172000000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0.1573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DRAM incl. HBM DRAM含HBM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NAND/SSD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Other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000660.KS</t>
        </is>
      </c>
      <c r="B2" s="2" t="n">
        <v>1026081981202432</v>
      </c>
      <c r="C2" s="2" t="n">
        <v>959526698221568</v>
      </c>
      <c r="D2" s="2" t="n">
        <v>5.072</v>
      </c>
      <c r="E2" s="2" t="n">
        <v>3.0680957</v>
      </c>
      <c r="F2" s="2" t="n">
        <v>2.568</v>
      </c>
      <c r="G2" s="2" t="n">
        <v>0.76268</v>
      </c>
      <c r="H2" s="2" t="n">
        <v>0.05435052982662378</v>
      </c>
    </row>
    <row r="3">
      <c r="A3" t="inlineStr">
        <is>
          <t>005930.KS</t>
        </is>
      </c>
      <c r="B3" s="2" t="n">
        <v>1510766020657152</v>
      </c>
      <c r="C3" s="2" t="n">
        <v>1370097251778560</v>
      </c>
      <c r="D3" s="2" t="n">
        <v>2.823</v>
      </c>
      <c r="E3" s="2" t="n">
        <v>3.2141805</v>
      </c>
      <c r="F3" s="2" t="n">
        <v>1.3</v>
      </c>
      <c r="G3" s="2" t="n">
        <v>0.57485</v>
      </c>
      <c r="H3" s="2" t="n">
        <v>0.046036794967948</v>
      </c>
    </row>
    <row r="4">
      <c r="A4" t="inlineStr">
        <is>
          <t>WDC</t>
        </is>
      </c>
      <c r="B4" s="2" t="n">
        <v>142508605440</v>
      </c>
      <c r="C4" s="2" t="n">
        <v>136873541632</v>
      </c>
      <c r="D4" s="2" t="n">
        <v>10.595</v>
      </c>
      <c r="E4" s="2" t="n">
        <v>11.5694</v>
      </c>
      <c r="F4" s="2" t="n">
        <v>0.438</v>
      </c>
      <c r="G4" s="2" t="n">
        <v>0.48851</v>
      </c>
      <c r="H4" s="2" t="n">
        <v>0.01592009179372122</v>
      </c>
    </row>
    <row r="5">
      <c r="A5" t="inlineStr">
        <is>
          <t>SNDK</t>
        </is>
      </c>
      <c r="B5" s="2" t="n">
        <v>214237544448</v>
      </c>
      <c r="C5" s="2" t="n">
        <v>212480278528</v>
      </c>
      <c r="D5" s="2" t="n">
        <v>10.494</v>
      </c>
      <c r="E5" s="2" t="n">
        <v>5.566452</v>
      </c>
      <c r="F5" s="2" t="n">
        <v>3.716</v>
      </c>
      <c r="G5" s="2" t="n">
        <v>0.71474</v>
      </c>
      <c r="H5" s="2" t="n">
        <v>0.03603885130355394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59294000000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100724000000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2026-05-31</t>
        </is>
      </c>
      <c r="B2" t="n">
        <v>41456000000</v>
      </c>
      <c r="C2" t="n">
        <v>35056000000</v>
      </c>
      <c r="D2" t="n">
        <v>33318000000</v>
      </c>
      <c r="E2" t="n">
        <v>28243000000</v>
      </c>
      <c r="F2" t="n">
        <v>25388000000</v>
      </c>
      <c r="G2" t="n">
        <v>-7826000000</v>
      </c>
      <c r="H2" t="n">
        <v>17562000000</v>
      </c>
      <c r="I2">
        <f>IF(B2,C2/B2,"")</f>
        <v/>
      </c>
      <c r="J2">
        <f>IF(B2,D2/B2,"")</f>
        <v/>
      </c>
    </row>
    <row r="3">
      <c r="A3" t="inlineStr">
        <is>
          <t>2026-02-28</t>
        </is>
      </c>
      <c r="B3" t="n">
        <v>23860000000</v>
      </c>
      <c r="C3" t="n">
        <v>17755000000</v>
      </c>
      <c r="D3" t="n">
        <v>16135000000</v>
      </c>
      <c r="E3" t="n">
        <v>13785000000</v>
      </c>
      <c r="F3" t="n">
        <v>11903000000</v>
      </c>
      <c r="G3" t="n">
        <v>-6387000000</v>
      </c>
      <c r="H3" t="n">
        <v>5516000000</v>
      </c>
      <c r="I3">
        <f>IF(B3,C3/B3,"")</f>
        <v/>
      </c>
      <c r="J3">
        <f>IF(B3,D3/B3,"")</f>
        <v/>
      </c>
    </row>
    <row r="4">
      <c r="A4" t="inlineStr">
        <is>
          <t>2025-11-30</t>
        </is>
      </c>
      <c r="B4" t="n">
        <v>13643000000</v>
      </c>
      <c r="C4" t="n">
        <v>7646000000</v>
      </c>
      <c r="D4" t="n">
        <v>6136000000</v>
      </c>
      <c r="E4" t="n">
        <v>5240000000</v>
      </c>
      <c r="F4" t="n">
        <v>8411000000</v>
      </c>
      <c r="G4" t="n">
        <v>-5389000000</v>
      </c>
      <c r="H4" t="n">
        <v>3022000000</v>
      </c>
      <c r="I4">
        <f>IF(B4,C4/B4,"")</f>
        <v/>
      </c>
      <c r="J4">
        <f>IF(B4,D4/B4,"")</f>
        <v/>
      </c>
    </row>
    <row r="5">
      <c r="A5" t="inlineStr">
        <is>
          <t>2025-08-31</t>
        </is>
      </c>
      <c r="B5" t="n">
        <v>11315000000</v>
      </c>
      <c r="C5" t="n">
        <v>5054000000</v>
      </c>
      <c r="D5" t="n">
        <v>3693000000</v>
      </c>
      <c r="E5" t="n">
        <v>3201000000</v>
      </c>
      <c r="F5" t="n">
        <v>5730000000</v>
      </c>
      <c r="G5" t="n">
        <v>-5658000000</v>
      </c>
      <c r="H5" t="n">
        <v>72000000</v>
      </c>
      <c r="I5">
        <f>IF(B5,C5/B5,"")</f>
        <v/>
      </c>
      <c r="J5">
        <f>IF(B5,D5/B5,"")</f>
        <v/>
      </c>
    </row>
    <row r="6">
      <c r="A6" t="inlineStr">
        <is>
          <t>2025-05-31</t>
        </is>
      </c>
      <c r="B6" t="n">
        <v>9301000000</v>
      </c>
      <c r="C6" t="n">
        <v>3508000000</v>
      </c>
      <c r="D6" t="n">
        <v>2169000000</v>
      </c>
      <c r="E6" t="n">
        <v>1885000000</v>
      </c>
      <c r="F6" t="n">
        <v>4609000000</v>
      </c>
      <c r="G6" t="n">
        <v>-2938000000</v>
      </c>
      <c r="H6" t="n">
        <v>1671000000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953.1900000000001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1078461333504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43434000384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5178999808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133188001792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26172000000</v>
      </c>
      <c r="C7" t="inlineStr">
        <is>
          <t>Sum of last 4 quarterly FCF (q_cash); quarters ['2026-05-31', '2026-02-28', '2025-11-30', '2025-08-31'] (USD)</t>
        </is>
      </c>
    </row>
    <row r="8">
      <c r="A8" t="inlineStr">
        <is>
          <t>Beta</t>
        </is>
      </c>
      <c r="B8" t="n">
        <v>2.226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1.0654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0.1573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0.1573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0.1965041869227295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2026-10-13T23:58:51Z</dcterms:created>
  <dcterms:modified xmlns:dcterms="http://purl.org/dc/terms/" xmlns:xsi="http://www.w3.org/2001/XMLSchema-instance" xsi:type="dcterms:W3CDTF">2026-10-13T23:58:51Z</dcterms:modified>
</cp:coreProperties>
</file>