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RKLB Valuation Model｜估值模型 — as of 2026-10-14 07:58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64.22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41062977536</v>
      </c>
      <c r="C3" t="inlineStr">
        <is>
          <t>DATA</t>
        </is>
      </c>
    </row>
    <row r="4">
      <c r="A4" t="inlineStr">
        <is>
          <t>Cash</t>
        </is>
      </c>
      <c r="B4" s="2" t="n">
        <v>2302184960</v>
      </c>
      <c r="C4" t="inlineStr">
        <is>
          <t>DATA</t>
        </is>
      </c>
    </row>
    <row r="5">
      <c r="A5" t="inlineStr">
        <is>
          <t>Debt</t>
        </is>
      </c>
      <c r="B5" s="2" t="n">
        <v>133691000</v>
      </c>
      <c r="C5" t="inlineStr">
        <is>
          <t>DATA</t>
        </is>
      </c>
    </row>
    <row r="6">
      <c r="A6" t="inlineStr">
        <is>
          <t>RevenueTTM</t>
        </is>
      </c>
      <c r="B6" s="2" t="n">
        <v>769145984</v>
      </c>
      <c r="C6" t="inlineStr">
        <is>
          <t>DATA</t>
        </is>
      </c>
    </row>
    <row r="7">
      <c r="A7" t="inlineStr">
        <is>
          <t>FCF_TTM</t>
        </is>
      </c>
      <c r="B7" s="2" t="n">
        <v>-371139000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0.0524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0.4134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Launch services 发射服务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Space systems 航天系统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Total EV</t>
        </is>
      </c>
      <c r="D4">
        <f>SUM(D2:D3)</f>
        <v/>
      </c>
    </row>
    <row r="5">
      <c r="A5" t="inlineStr">
        <is>
          <t>Equity value</t>
        </is>
      </c>
      <c r="D5">
        <f>D4+Inputs!B17</f>
        <v/>
      </c>
    </row>
    <row r="6">
      <c r="A6" t="inlineStr">
        <is>
          <t>Value/share USD</t>
        </is>
      </c>
      <c r="D6">
        <f>D5*Inputs!B8/Inputs!B3*Inputs!B2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SPCX</t>
        </is>
      </c>
      <c r="B2" s="2" t="n">
        <v>2063475802112</v>
      </c>
      <c r="C2" s="2" t="n">
        <v>4066650619904</v>
      </c>
      <c r="D2" s="2" t="n">
        <v>176.473</v>
      </c>
      <c r="E2" s="2" t="n">
        <v>78.74364</v>
      </c>
      <c r="F2" s="2" t="n">
        <v>0.919</v>
      </c>
      <c r="G2" s="2" t="n">
        <v>0.51875</v>
      </c>
      <c r="H2" s="2" t="n"/>
    </row>
    <row r="3">
      <c r="A3" t="inlineStr">
        <is>
          <t>ASTS</t>
        </is>
      </c>
      <c r="B3" s="2" t="n">
        <v>18316167168</v>
      </c>
      <c r="C3" s="2" t="n">
        <v>15318622208</v>
      </c>
      <c r="D3" s="2" t="n">
        <v>132.86</v>
      </c>
      <c r="E3" s="2" t="n">
        <v>-36.578636</v>
      </c>
      <c r="F3" s="2" t="n">
        <v>26.266</v>
      </c>
      <c r="G3" s="2" t="n">
        <v>0.38914</v>
      </c>
      <c r="H3" s="2" t="n">
        <v>-0.09825052236605575</v>
      </c>
    </row>
    <row r="4">
      <c r="A4" t="inlineStr">
        <is>
          <t>LUNR</t>
        </is>
      </c>
      <c r="B4" s="2" t="n">
        <v>1966009856</v>
      </c>
      <c r="C4" s="2" t="n">
        <v>3426215680</v>
      </c>
      <c r="D4" s="2" t="n">
        <v>6.991</v>
      </c>
      <c r="E4" s="2" t="n">
        <v>-78.58065000000001</v>
      </c>
      <c r="F4" s="2" t="n">
        <v>3.098</v>
      </c>
      <c r="G4" s="2" t="n">
        <v>0.16349001</v>
      </c>
      <c r="H4" s="2" t="n">
        <v>-0.04068945623841267</v>
      </c>
    </row>
    <row r="5">
      <c r="A5" t="inlineStr">
        <is>
          <t>PL</t>
        </is>
      </c>
      <c r="B5" s="2" t="n">
        <v>5515935744</v>
      </c>
      <c r="C5" s="2" t="n">
        <v>5149140480</v>
      </c>
      <c r="D5" s="2" t="n">
        <v>13.612</v>
      </c>
      <c r="E5" s="2" t="n">
        <v>-12128</v>
      </c>
      <c r="F5" s="2" t="n">
        <v>0.581</v>
      </c>
      <c r="G5" s="2" t="n">
        <v>0.55486</v>
      </c>
      <c r="H5" s="2" t="n">
        <v>0.009381885214361192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2026-10-14 07:58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-168350000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3492153000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234066000</v>
      </c>
      <c r="C2" t="n">
        <v>84576000</v>
      </c>
      <c r="D2" t="n">
        <v>-57514000</v>
      </c>
      <c r="E2" t="n">
        <v>-49258000</v>
      </c>
      <c r="F2" t="n">
        <v>-84075000</v>
      </c>
      <c r="G2" t="n">
        <v>-26047000</v>
      </c>
      <c r="H2" t="n">
        <v>-110122000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200348000</v>
      </c>
      <c r="C3" t="n">
        <v>76493000</v>
      </c>
      <c r="D3" t="n">
        <v>-55969000</v>
      </c>
      <c r="E3" t="n">
        <v>-45022000</v>
      </c>
      <c r="F3" t="n">
        <v>-50332000</v>
      </c>
      <c r="G3" t="n">
        <v>-27065000</v>
      </c>
      <c r="H3" t="n">
        <v>-77397000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179652000</v>
      </c>
      <c r="C4" t="n">
        <v>68232000</v>
      </c>
      <c r="D4" t="n">
        <v>-51042000</v>
      </c>
      <c r="E4" t="n">
        <v>-52922000</v>
      </c>
      <c r="F4" t="n">
        <v>-64531000</v>
      </c>
      <c r="G4" t="n">
        <v>-49654000</v>
      </c>
      <c r="H4" t="n">
        <v>-114185000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155080000</v>
      </c>
      <c r="C5" t="n">
        <v>57314000</v>
      </c>
      <c r="D5" t="n">
        <v>-58969000</v>
      </c>
      <c r="E5" t="n">
        <v>-18257000</v>
      </c>
      <c r="F5" t="n">
        <v>-23523000</v>
      </c>
      <c r="G5" t="n">
        <v>-45912000</v>
      </c>
      <c r="H5" t="n">
        <v>-69435000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144498000</v>
      </c>
      <c r="C6" t="n">
        <v>46388000</v>
      </c>
      <c r="D6" t="n">
        <v>-59639000</v>
      </c>
      <c r="E6" t="n">
        <v>-66414000</v>
      </c>
      <c r="F6" t="n">
        <v>-23242000</v>
      </c>
      <c r="G6" t="n">
        <v>-32042000</v>
      </c>
      <c r="H6" t="n">
        <v>-55284000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64.22</v>
      </c>
      <c r="C2" t="inlineStr">
        <is>
          <t>Yahoo Finance quote, fetched 2026-10-14T07:58 SGT</t>
        </is>
      </c>
    </row>
    <row r="3">
      <c r="A3" t="inlineStr">
        <is>
          <t>Market cap 市值</t>
        </is>
      </c>
      <c r="B3" t="n">
        <v>41062977536</v>
      </c>
      <c r="C3" t="inlineStr">
        <is>
          <t>Yahoo info.marketCap 2026-10-14T07:58</t>
        </is>
      </c>
    </row>
    <row r="4">
      <c r="A4" t="inlineStr">
        <is>
          <t>Cash 现金</t>
        </is>
      </c>
      <c r="B4" t="n">
        <v>2302184960</v>
      </c>
      <c r="C4" t="inlineStr">
        <is>
          <t>Yahoo info.totalCash (latest filing) 2026-10-14T07:58</t>
        </is>
      </c>
    </row>
    <row r="5">
      <c r="A5" t="inlineStr">
        <is>
          <t>Debt 负债</t>
        </is>
      </c>
      <c r="B5" t="n">
        <v>133691000</v>
      </c>
      <c r="C5" t="inlineStr">
        <is>
          <t>Yahoo info.totalDebt (latest filing) 2026-10-14T07:58</t>
        </is>
      </c>
    </row>
    <row r="6">
      <c r="A6" t="inlineStr">
        <is>
          <t>Revenue TTM 收入</t>
        </is>
      </c>
      <c r="B6" t="n">
        <v>769145984</v>
      </c>
      <c r="C6" t="inlineStr">
        <is>
          <t>Yahoo info.totalRevenue (TTM, USD) 2026-10-14T07:58</t>
        </is>
      </c>
    </row>
    <row r="7">
      <c r="A7" t="inlineStr">
        <is>
          <t>FCF TTM 自由现金流</t>
        </is>
      </c>
      <c r="B7" t="n">
        <v>-371139000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2.938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0.0524</v>
      </c>
      <c r="C9" t="inlineStr">
        <is>
          <t>FRED DGS10 2026-10-09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0.59650004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0.4134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0.4134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-0.4825338852708617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2026-10-13T23:59:08Z</dcterms:created>
  <dcterms:modified xmlns:dcterms="http://purl.org/dc/terms/" xmlns:xsi="http://www.w3.org/2001/XMLSchema-instance" xsi:type="dcterms:W3CDTF">2026-10-13T23:59:08Z</dcterms:modified>
</cp:coreProperties>
</file>