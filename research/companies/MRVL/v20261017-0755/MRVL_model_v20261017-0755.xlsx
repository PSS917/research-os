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MRVL Valuation Model｜估值模型 — as of 2026-10-17 07:55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227.83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204751880192</v>
      </c>
      <c r="C3" t="inlineStr">
        <is>
          <t>DATA</t>
        </is>
      </c>
    </row>
    <row r="4">
      <c r="A4" t="inlineStr">
        <is>
          <t>Cash</t>
        </is>
      </c>
      <c r="B4" s="2" t="n">
        <v>3932800000</v>
      </c>
      <c r="C4" t="inlineStr">
        <is>
          <t>DATA</t>
        </is>
      </c>
    </row>
    <row r="5">
      <c r="A5" t="inlineStr">
        <is>
          <t>Debt</t>
        </is>
      </c>
      <c r="B5" s="2" t="n">
        <v>5286099968</v>
      </c>
      <c r="C5" t="inlineStr">
        <is>
          <t>DATA</t>
        </is>
      </c>
    </row>
    <row r="6">
      <c r="A6" t="inlineStr">
        <is>
          <t>RevenueTTM</t>
        </is>
      </c>
      <c r="B6" s="2" t="n">
        <v>9450300416</v>
      </c>
      <c r="C6" t="inlineStr">
        <is>
          <t>DATA</t>
        </is>
      </c>
    </row>
    <row r="7">
      <c r="A7" t="inlineStr">
        <is>
          <t>FCF_TTM</t>
        </is>
      </c>
      <c r="B7" s="2" t="n">
        <v>1722800000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0.051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0.6321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0.3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Data center (custom+optical DSP) 数据中心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Enterprise/Carrier 企业/运营商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Consumer/Auto/Industrial 其他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AVGO</t>
        </is>
      </c>
      <c r="B2" s="2" t="n">
        <v>1569330823168</v>
      </c>
      <c r="C2" s="2" t="n">
        <v>1604774789120</v>
      </c>
      <c r="D2" s="2" t="n">
        <v>18.01</v>
      </c>
      <c r="E2" s="2" t="n">
        <v>16.951277</v>
      </c>
      <c r="F2" s="2" t="n">
        <v>0.855</v>
      </c>
      <c r="G2" s="2" t="n">
        <v>0.75515</v>
      </c>
      <c r="H2" s="2" t="n">
        <v>0.01949652616535945</v>
      </c>
    </row>
    <row r="3">
      <c r="A3" t="inlineStr">
        <is>
          <t>CRDO</t>
        </is>
      </c>
      <c r="B3" s="2" t="n">
        <v>31895439360</v>
      </c>
      <c r="C3" s="2" t="n">
        <v>31157387264</v>
      </c>
      <c r="D3" s="2" t="n">
        <v>19.583</v>
      </c>
      <c r="E3" s="2" t="n">
        <v>17.51176</v>
      </c>
      <c r="F3" s="2" t="n">
        <v>1.147</v>
      </c>
      <c r="G3" s="2" t="n">
        <v>0.67067003</v>
      </c>
      <c r="H3" s="2" t="n">
        <v>0.00778452609470497</v>
      </c>
    </row>
    <row r="4">
      <c r="A4" t="inlineStr">
        <is>
          <t>ALAB</t>
        </is>
      </c>
      <c r="B4" s="2" t="n">
        <v>49585512448</v>
      </c>
      <c r="C4" s="2" t="n">
        <v>48376967168</v>
      </c>
      <c r="D4" s="2" t="n">
        <v>40.25</v>
      </c>
      <c r="E4" s="2" t="n">
        <v>44.638103</v>
      </c>
      <c r="F4" s="2" t="n">
        <v>1.045</v>
      </c>
      <c r="G4" s="2" t="n">
        <v>0.75128996</v>
      </c>
      <c r="H4" s="2" t="n">
        <v>0.001853628680280126</v>
      </c>
    </row>
    <row r="5">
      <c r="A5" t="inlineStr">
        <is>
          <t>AMD</t>
        </is>
      </c>
      <c r="B5" s="2" t="n">
        <v>863171182592</v>
      </c>
      <c r="C5" s="2" t="n">
        <v>854336208896</v>
      </c>
      <c r="D5" s="2" t="n">
        <v>20.684</v>
      </c>
      <c r="E5" s="2" t="n">
        <v>33.560158</v>
      </c>
      <c r="F5" s="2" t="n">
        <v>0.501</v>
      </c>
      <c r="G5" s="2" t="n">
        <v>0.55724</v>
      </c>
      <c r="H5" s="2" t="n">
        <v>0.01024304312552469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2026-10-17 07:55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3498100000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18531600000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2026-07-31</t>
        </is>
      </c>
      <c r="B2" t="n">
        <v>2739300000</v>
      </c>
      <c r="C2" t="n">
        <v>1455600000</v>
      </c>
      <c r="D2" t="n">
        <v>456900000</v>
      </c>
      <c r="E2" t="n">
        <v>308000000</v>
      </c>
      <c r="F2" t="n">
        <v>605500000</v>
      </c>
      <c r="G2" t="n">
        <v>-131200000</v>
      </c>
      <c r="H2" t="n">
        <v>474300000</v>
      </c>
      <c r="I2">
        <f>IF(B2,C2/B2,"")</f>
        <v/>
      </c>
      <c r="J2">
        <f>IF(B2,D2/B2,"")</f>
        <v/>
      </c>
    </row>
    <row r="3">
      <c r="A3" t="inlineStr">
        <is>
          <t>2026-04-30</t>
        </is>
      </c>
      <c r="B3" t="n">
        <v>2417800000</v>
      </c>
      <c r="C3" t="n">
        <v>1260800000</v>
      </c>
      <c r="D3" t="n">
        <v>350100000</v>
      </c>
      <c r="E3" t="n">
        <v>34500000</v>
      </c>
      <c r="F3" t="n">
        <v>638800000</v>
      </c>
      <c r="G3" t="n">
        <v>-156200000</v>
      </c>
      <c r="H3" t="n">
        <v>482600000</v>
      </c>
      <c r="I3">
        <f>IF(B3,C3/B3,"")</f>
        <v/>
      </c>
      <c r="J3">
        <f>IF(B3,D3/B3,"")</f>
        <v/>
      </c>
    </row>
    <row r="4">
      <c r="A4" t="inlineStr">
        <is>
          <t>2026-01-31</t>
        </is>
      </c>
      <c r="B4" t="n">
        <v>2218700000</v>
      </c>
      <c r="C4" t="n">
        <v>1147900000</v>
      </c>
      <c r="D4" t="n">
        <v>413900000</v>
      </c>
      <c r="E4" t="n">
        <v>396100000</v>
      </c>
      <c r="F4" t="n">
        <v>373700000</v>
      </c>
      <c r="G4" t="n">
        <v>-115400000</v>
      </c>
      <c r="H4" t="n">
        <v>258300000</v>
      </c>
      <c r="I4">
        <f>IF(B4,C4/B4,"")</f>
        <v/>
      </c>
      <c r="J4">
        <f>IF(B4,D4/B4,"")</f>
        <v/>
      </c>
    </row>
    <row r="5">
      <c r="A5" t="inlineStr">
        <is>
          <t>2025-10-31</t>
        </is>
      </c>
      <c r="B5" t="n">
        <v>2074500000</v>
      </c>
      <c r="C5" t="n">
        <v>1069800000</v>
      </c>
      <c r="D5" t="n">
        <v>367400000</v>
      </c>
      <c r="E5" t="n">
        <v>1901300000</v>
      </c>
      <c r="F5" t="n">
        <v>582300000</v>
      </c>
      <c r="G5" t="n">
        <v>-74700000</v>
      </c>
      <c r="H5" t="n">
        <v>507600000</v>
      </c>
      <c r="I5">
        <f>IF(B5,C5/B5,"")</f>
        <v/>
      </c>
      <c r="J5">
        <f>IF(B5,D5/B5,"")</f>
        <v/>
      </c>
    </row>
    <row r="6">
      <c r="A6" t="inlineStr">
        <is>
          <t>2025-07-31</t>
        </is>
      </c>
      <c r="B6" t="n">
        <v>2006100000</v>
      </c>
      <c r="C6" t="n">
        <v>1010600000</v>
      </c>
      <c r="D6" t="n">
        <v>298800000</v>
      </c>
      <c r="E6" t="n">
        <v>194800000</v>
      </c>
      <c r="F6" t="n">
        <v>461600000</v>
      </c>
      <c r="G6" t="n">
        <v>-48600000</v>
      </c>
      <c r="H6" t="n">
        <v>413000000</v>
      </c>
      <c r="I6">
        <f>IF(B6,C6/B6,"")</f>
        <v/>
      </c>
      <c r="J6">
        <f>IF(B6,D6/B6,"")</f>
        <v/>
      </c>
    </row>
    <row r="7">
      <c r="A7" t="inlineStr">
        <is>
          <t>2025-01-31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227.83</v>
      </c>
      <c r="C2" t="inlineStr">
        <is>
          <t>Yahoo Finance quote, fetched 2026-10-17T07:55 SGT</t>
        </is>
      </c>
    </row>
    <row r="3">
      <c r="A3" t="inlineStr">
        <is>
          <t>Market cap 市值</t>
        </is>
      </c>
      <c r="B3" t="n">
        <v>204751880192</v>
      </c>
      <c r="C3" t="inlineStr">
        <is>
          <t>Yahoo info.marketCap 2026-10-17T07:55</t>
        </is>
      </c>
    </row>
    <row r="4">
      <c r="A4" t="inlineStr">
        <is>
          <t>Cash 现金</t>
        </is>
      </c>
      <c r="B4" t="n">
        <v>3932800000</v>
      </c>
      <c r="C4" t="inlineStr">
        <is>
          <t>Yahoo info.totalCash (latest filing) 2026-10-17T07:55</t>
        </is>
      </c>
    </row>
    <row r="5">
      <c r="A5" t="inlineStr">
        <is>
          <t>Debt 负债</t>
        </is>
      </c>
      <c r="B5" t="n">
        <v>5286099968</v>
      </c>
      <c r="C5" t="inlineStr">
        <is>
          <t>Yahoo info.totalDebt (latest filing) 2026-10-17T07:55</t>
        </is>
      </c>
    </row>
    <row r="6">
      <c r="A6" t="inlineStr">
        <is>
          <t>Revenue TTM 收入</t>
        </is>
      </c>
      <c r="B6" t="n">
        <v>9450300416</v>
      </c>
      <c r="C6" t="inlineStr">
        <is>
          <t>Yahoo info.totalRevenue (TTM, USD) 2026-10-17T07:55</t>
        </is>
      </c>
    </row>
    <row r="7">
      <c r="A7" t="inlineStr">
        <is>
          <t>FCF TTM 自由现金流</t>
        </is>
      </c>
      <c r="B7" t="n">
        <v>1722800000</v>
      </c>
      <c r="C7" t="inlineStr">
        <is>
          <t>Sum of last 4 quarterly FCF (q_cash); quarters ['2026-07-31', '2026-04-30', '2026-01-31', '2025-10-31'] (USD)</t>
        </is>
      </c>
    </row>
    <row r="8">
      <c r="A8" t="inlineStr">
        <is>
          <t>Beta</t>
        </is>
      </c>
      <c r="B8" t="n">
        <v>2.26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0.051</v>
      </c>
      <c r="C9" t="inlineStr">
        <is>
          <t>FRED DGS10 2026-10-15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0.4729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0.6321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0.6321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0.1823010829458059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0.3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2026-10-16T23:56:54Z</dcterms:created>
  <dcterms:modified xmlns:dcterms="http://purl.org/dc/terms/" xmlns:xsi="http://www.w3.org/2001/XMLSchema-instance" xsi:type="dcterms:W3CDTF">2026-10-16T23:56:54Z</dcterms:modified>
</cp:coreProperties>
</file>