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SPCX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156.54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2063475802112</v>
      </c>
      <c r="C3" t="inlineStr">
        <is>
          <t>DATA</t>
        </is>
      </c>
    </row>
    <row r="4">
      <c r="A4" t="inlineStr">
        <is>
          <t>Cash</t>
        </is>
      </c>
      <c r="B4" s="2" t="n">
        <v>100009000960</v>
      </c>
      <c r="C4" t="inlineStr">
        <is>
          <t>DATA</t>
        </is>
      </c>
    </row>
    <row r="5">
      <c r="A5" t="inlineStr">
        <is>
          <t>Debt</t>
        </is>
      </c>
      <c r="B5" s="2" t="n">
        <v>39708000256</v>
      </c>
      <c r="C5" t="inlineStr">
        <is>
          <t>DATA</t>
        </is>
      </c>
    </row>
    <row r="6">
      <c r="A6" t="inlineStr">
        <is>
          <t>RevenueTTM</t>
        </is>
      </c>
      <c r="B6" s="2" t="n">
        <v>23043999744</v>
      </c>
      <c r="C6" t="inlineStr">
        <is>
          <t>DATA</t>
        </is>
      </c>
    </row>
    <row r="7">
      <c r="A7" t="inlineStr">
        <is>
          <t>FCF_TTM</t>
        </is>
      </c>
      <c r="B7" s="2" t="n">
        <v>-32522000000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Starlink 卫星宽带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Launch 发射服务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Government/Defense 政府国防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Other bets 其他(AI/Starship等)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RKLB</t>
        </is>
      </c>
      <c r="B2" s="2" t="n">
        <v>41062977536</v>
      </c>
      <c r="C2" s="2" t="n">
        <v>36257579008</v>
      </c>
      <c r="D2" s="2" t="n">
        <v>47.14</v>
      </c>
      <c r="E2" s="2" t="n">
        <v>1090.6929</v>
      </c>
      <c r="F2" s="2" t="n">
        <v>0.62</v>
      </c>
      <c r="G2" s="2" t="n">
        <v>0.37264</v>
      </c>
      <c r="H2" s="2" t="n">
        <v>-0.006136029268191839</v>
      </c>
    </row>
    <row r="3">
      <c r="A3" t="inlineStr">
        <is>
          <t>ASTS</t>
        </is>
      </c>
      <c r="B3" s="2" t="n">
        <v>18316167168</v>
      </c>
      <c r="C3" s="2" t="n">
        <v>15318622208</v>
      </c>
      <c r="D3" s="2" t="n">
        <v>132.86</v>
      </c>
      <c r="E3" s="2" t="n">
        <v>-36.578636</v>
      </c>
      <c r="F3" s="2" t="n">
        <v>26.266</v>
      </c>
      <c r="G3" s="2" t="n">
        <v>0.38914</v>
      </c>
      <c r="H3" s="2" t="n">
        <v>-0.09825052236605575</v>
      </c>
    </row>
    <row r="4">
      <c r="A4" t="inlineStr">
        <is>
          <t>IRDM</t>
        </is>
      </c>
      <c r="B4" s="2" t="n">
        <v>4952517632</v>
      </c>
      <c r="C4" s="2" t="n">
        <v>6556510720</v>
      </c>
      <c r="D4" s="2" t="n">
        <v>7.415</v>
      </c>
      <c r="E4" s="2" t="n">
        <v>27.247812</v>
      </c>
      <c r="F4" s="2" t="n">
        <v>0.038</v>
      </c>
      <c r="G4" s="2" t="n">
        <v>0.71851</v>
      </c>
      <c r="H4" s="2" t="n">
        <v>0.04829975252473771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-4021000000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127224000000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7814000000</v>
      </c>
      <c r="C2" t="n">
        <v>4319000000</v>
      </c>
      <c r="D2" t="n">
        <v>-141000000</v>
      </c>
      <c r="E2" t="n">
        <v>-541000000</v>
      </c>
      <c r="F2" t="n">
        <v>2419000000</v>
      </c>
      <c r="G2" t="n">
        <v>-19238000000</v>
      </c>
      <c r="H2" t="n">
        <v>-16819000000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4694000000</v>
      </c>
      <c r="C3" t="n">
        <v>2306000000</v>
      </c>
      <c r="D3" t="n">
        <v>-1954000000</v>
      </c>
      <c r="E3" t="n">
        <v>-4276000000</v>
      </c>
      <c r="F3" t="n">
        <v>1047000000</v>
      </c>
      <c r="G3" t="n">
        <v>-10114000000</v>
      </c>
      <c r="H3" t="n">
        <v>-9067000000</v>
      </c>
      <c r="I3">
        <f>IF(B3,C3/B3,"")</f>
        <v/>
      </c>
      <c r="J3">
        <f>IF(B3,D3/B3,"")</f>
        <v/>
      </c>
    </row>
    <row r="4">
      <c r="A4" t="inlineStr">
        <is>
          <t>2025-06-30</t>
        </is>
      </c>
      <c r="B4" t="n">
        <v>4071000000</v>
      </c>
      <c r="C4" t="n">
        <v>1789000000</v>
      </c>
      <c r="D4" t="n">
        <v>-775000000</v>
      </c>
      <c r="E4" t="n">
        <v>-1008000000</v>
      </c>
      <c r="F4" t="n">
        <v>-376000000</v>
      </c>
      <c r="G4" t="n">
        <v>-2847000000</v>
      </c>
      <c r="H4" t="n">
        <v>-3223000000</v>
      </c>
      <c r="I4">
        <f>IF(B4,C4/B4,"")</f>
        <v/>
      </c>
      <c r="J4">
        <f>IF(B4,D4/B4,"")</f>
        <v/>
      </c>
    </row>
    <row r="5">
      <c r="A5" t="inlineStr">
        <is>
          <t>2025-03-31</t>
        </is>
      </c>
      <c r="B5" t="n">
        <v>4067000000</v>
      </c>
      <c r="C5" t="n">
        <v>2105000000</v>
      </c>
      <c r="D5" t="n">
        <v>55000000</v>
      </c>
      <c r="E5" t="n">
        <v>-528000000</v>
      </c>
      <c r="F5" t="n">
        <v>727000000</v>
      </c>
      <c r="G5" t="n">
        <v>-4140000000</v>
      </c>
      <c r="H5" t="n">
        <v>-3413000000</v>
      </c>
      <c r="I5">
        <f>IF(B5,C5/B5,"")</f>
        <v/>
      </c>
      <c r="J5">
        <f>IF(B5,D5/B5,"")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156.54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2063475802112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100009000960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39708000256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23043999744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-32522000000</v>
      </c>
      <c r="C7" t="inlineStr">
        <is>
          <t>Sum of last 4 quarterly FCF (q_cash); quarters ['2026-06-30', '2026-03-31', '2025-06-30', '2025-03-31'] (USD)</t>
        </is>
      </c>
    </row>
    <row r="8">
      <c r="A8" t="inlineStr">
        <is>
          <t>Beta</t>
        </is>
      </c>
      <c r="B8" t="n">
        <v>1.3</v>
      </c>
      <c r="C8" t="inlineStr">
        <is>
          <t>ASSUMPTION (no beta history; recent IPO) = 1.3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inlineStr">
        <is>
          <t>None</t>
        </is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1.5958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1.30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2026-10-13T23:58:51Z</dcterms:created>
  <dcterms:modified xmlns:dcterms="http://purl.org/dc/terms/" xmlns:xsi="http://www.w3.org/2001/XMLSchema-instance" xsi:type="dcterms:W3CDTF">2026-10-13T23:58:51Z</dcterms:modified>
</cp:coreProperties>
</file>