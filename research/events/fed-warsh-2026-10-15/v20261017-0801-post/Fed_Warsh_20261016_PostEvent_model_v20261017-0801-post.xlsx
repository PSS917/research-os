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ding" sheetId="1" state="visible" r:id="rId1"/>
    <sheet xmlns:r="http://schemas.openxmlformats.org/officeDocument/2006/relationships" name="Calibration" sheetId="2" state="visible" r:id="rId2"/>
    <sheet xmlns:r="http://schemas.openxmlformats.org/officeDocument/2006/relationships" name="Window" sheetId="3" state="visible" r:id="rId3"/>
    <sheet xmlns:r="http://schemas.openxmlformats.org/officeDocument/2006/relationships" name="Kalshi" sheetId="4" state="visible" r:id="rId4"/>
    <sheet xmlns:r="http://schemas.openxmlformats.org/officeDocument/2006/relationships" name="USCash_1016" sheetId="5" state="visible" r:id="rId5"/>
    <sheet xmlns:r="http://schemas.openxmlformats.org/officeDocument/2006/relationships" name="SourceLedger" sheetId="6" state="visible" r:id="rId6"/>
    <sheet xmlns:r="http://schemas.openxmlformats.org/officeDocument/2006/relationships" name="Assumption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Quote (press)</t>
        </is>
      </c>
      <c r="B1" s="1" t="inlineStr">
        <is>
          <t>Source</t>
        </is>
      </c>
      <c r="C1" s="1" t="inlineStr">
        <is>
          <t>Read H/N/D</t>
        </is>
      </c>
    </row>
    <row r="2">
      <c r="A2" t="inlineStr">
        <is>
          <t>"I don't prejudge meetings. I don't believe in saying now what I might do at the meetings that we have in the balance of this year."</t>
        </is>
      </c>
      <c r="B2" t="inlineStr">
        <is>
          <t>CNBC</t>
        </is>
      </c>
      <c r="C2" t="inlineStr">
        <is>
          <t>N</t>
        </is>
      </c>
    </row>
    <row r="3">
      <c r="A3" t="inlineStr">
        <is>
          <t>"It's a new chapter at the Fed [and] we're not in that business anymore." (on forward guidance)</t>
        </is>
      </c>
      <c r="B3" t="inlineStr">
        <is>
          <t>CNBC</t>
        </is>
      </c>
      <c r="C3" t="inlineStr">
        <is>
          <t>N</t>
        </is>
      </c>
    </row>
    <row r="4">
      <c r="A4" t="inlineStr">
        <is>
          <t>"We came to a judgement" in September ... "the world has broadly conformed to our expectations."</t>
        </is>
      </c>
      <c r="B4" t="inlineStr">
        <is>
          <t>AFP</t>
        </is>
      </c>
      <c r="C4" t="inlineStr">
        <is>
          <t>D</t>
        </is>
      </c>
    </row>
    <row r="5">
      <c r="A5" t="inlineStr">
        <is>
          <t>Global tightening was "a synchronous tightening in monetary policy in most places around the world"; "no free riders".</t>
        </is>
      </c>
      <c r="B5" t="inlineStr">
        <is>
          <t>CNBC</t>
        </is>
      </c>
      <c r="C5" t="inlineStr">
        <is>
          <t>H</t>
        </is>
      </c>
    </row>
    <row r="6">
      <c r="A6" t="inlineStr">
        <is>
          <t>"Almost everywhere in the global economy (is) showing resilience I'm not sure I would have predicted five or six months ago."</t>
        </is>
      </c>
      <c r="B6" t="inlineStr">
        <is>
          <t>AFP</t>
        </is>
      </c>
      <c r="C6" t="inlineStr">
        <is>
          <t>H</t>
        </is>
      </c>
    </row>
    <row r="7">
      <c r="A7" t="inlineStr">
        <is>
          <t>AI: optimism "leavened by the seriousness of purpose"; the path will be "very bumpy"; near-term demand-side inflation, longer-run positive supply shock.</t>
        </is>
      </c>
      <c r="B7" t="inlineStr">
        <is>
          <t>CNBC</t>
        </is>
      </c>
      <c r="C7" t="inlineStr">
        <is>
          <t>N</t>
        </is>
      </c>
    </row>
    <row r="8"/>
    <row r="9">
      <c r="A9" t="inlineStr">
        <is>
          <t>Count H</t>
        </is>
      </c>
      <c r="B9">
        <f>COUNTIF(C2:C7,"H")</f>
        <v/>
      </c>
    </row>
    <row r="10">
      <c r="A10" t="inlineStr">
        <is>
          <t>Count N</t>
        </is>
      </c>
      <c r="B10">
        <f>COUNTIF(C2:C7,"N")</f>
        <v/>
      </c>
    </row>
    <row r="11">
      <c r="A11" t="inlineStr">
        <is>
          <t>Count D</t>
        </is>
      </c>
      <c r="B11">
        <f>COUNTIF(C2:C7,"D")</f>
        <v/>
      </c>
    </row>
    <row r="12">
      <c r="A12" t="inlineStr">
        <is>
          <t>Locked rule: opening line '不预判' = neutral trigger (edit outcome in Calibration!E2:E4)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Scenario</t>
        </is>
      </c>
      <c r="B1" s="1" t="inlineStr">
        <is>
          <t>OS locked p</t>
        </is>
      </c>
      <c r="C1" s="1" t="inlineStr">
        <is>
          <t>Uniform</t>
        </is>
      </c>
      <c r="D1" s="1" t="inlineStr">
        <is>
          <t>Outcome (edit)</t>
        </is>
      </c>
      <c r="E1" s="1" t="inlineStr"/>
      <c r="F1" s="1" t="inlineStr">
        <is>
          <t>Brier OS</t>
        </is>
      </c>
      <c r="G1" s="1" t="inlineStr">
        <is>
          <t>Brier uniform</t>
        </is>
      </c>
    </row>
    <row r="2">
      <c r="A2" t="inlineStr">
        <is>
          <t>hawkish</t>
        </is>
      </c>
      <c r="B2" t="n">
        <v>0.3</v>
      </c>
      <c r="C2" t="n">
        <v>0.3333333333333333</v>
      </c>
      <c r="D2" s="2" t="n">
        <v>0</v>
      </c>
      <c r="E2" t="inlineStr"/>
      <c r="F2">
        <f>(B2-D2)^2</f>
        <v/>
      </c>
      <c r="G2">
        <f>(C2-D2)^2</f>
        <v/>
      </c>
    </row>
    <row r="3">
      <c r="A3" t="inlineStr">
        <is>
          <t>neutral</t>
        </is>
      </c>
      <c r="B3" t="n">
        <v>0.5</v>
      </c>
      <c r="C3" t="n">
        <v>0.3333333333333333</v>
      </c>
      <c r="D3" s="2" t="n">
        <v>1</v>
      </c>
      <c r="E3" t="inlineStr"/>
      <c r="F3">
        <f>(B3-D3)^2</f>
        <v/>
      </c>
      <c r="G3">
        <f>(C3-D3)^2</f>
        <v/>
      </c>
    </row>
    <row r="4">
      <c r="A4" t="inlineStr">
        <is>
          <t>dovish</t>
        </is>
      </c>
      <c r="B4" t="n">
        <v>0.2</v>
      </c>
      <c r="C4" t="n">
        <v>0.3333333333333333</v>
      </c>
      <c r="D4" s="2" t="n">
        <v>0</v>
      </c>
      <c r="E4" t="inlineStr"/>
      <c r="F4">
        <f>(B4-D4)^2</f>
        <v/>
      </c>
      <c r="G4">
        <f>(C4-D4)^2</f>
        <v/>
      </c>
    </row>
    <row r="5">
      <c r="A5" t="inlineStr">
        <is>
          <t>TOTAL</t>
        </is>
      </c>
      <c r="B5">
        <f>SUM(B2:B4)</f>
        <v/>
      </c>
      <c r="C5">
        <f>SUM(C2:C4)</f>
        <v/>
      </c>
      <c r="D5">
        <f>SUM(D2:D4)</f>
        <v/>
      </c>
      <c r="E5" t="inlineStr"/>
      <c r="F5">
        <f>SUM(F2:F4)</f>
        <v/>
      </c>
      <c r="G5">
        <f>SUM(G2:G4)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Ticker</t>
        </is>
      </c>
      <c r="B1" s="1" t="inlineStr">
        <is>
          <t>t-30m</t>
        </is>
      </c>
      <c r="C1" s="1" t="inlineStr">
        <is>
          <t>t-1m</t>
        </is>
      </c>
      <c r="D1" s="1" t="inlineStr">
        <is>
          <t>t+15m</t>
        </is>
      </c>
      <c r="E1" s="1" t="inlineStr">
        <is>
          <t>t+30m</t>
        </is>
      </c>
      <c r="F1" s="1" t="inlineStr">
        <is>
          <t>t+60m</t>
        </is>
      </c>
      <c r="G1" s="1" t="inlineStr">
        <is>
          <t>t+120m</t>
        </is>
      </c>
      <c r="H1" s="1" t="inlineStr">
        <is>
          <t>t+240m</t>
        </is>
      </c>
      <c r="I1" s="1" t="inlineStr">
        <is>
          <t>Δ +30m vs −1m</t>
        </is>
      </c>
      <c r="J1" s="1" t="inlineStr">
        <is>
          <t>unit</t>
        </is>
      </c>
    </row>
    <row r="2">
      <c r="A2" t="inlineStr">
        <is>
          <t>ZT=F</t>
        </is>
      </c>
      <c r="B2" t="n">
        <v>101.92578125</v>
      </c>
      <c r="C2" t="n">
        <v>101.921875</v>
      </c>
      <c r="D2" t="n">
        <v>101.94140625</v>
      </c>
      <c r="E2" t="n">
        <v>101.97265625</v>
      </c>
      <c r="F2" t="n">
        <v>101.953125</v>
      </c>
      <c r="G2" t="n">
        <v>101.94921875</v>
      </c>
      <c r="H2" t="n">
        <v>101.9765625</v>
      </c>
      <c r="I2">
        <f>-(E2-C2)/0.0194</f>
        <v/>
      </c>
      <c r="J2" t="inlineStr">
        <is>
          <t>bp (est)</t>
        </is>
      </c>
    </row>
    <row r="3">
      <c r="A3" t="inlineStr">
        <is>
          <t>JPY=X</t>
        </is>
      </c>
      <c r="B3" t="n">
        <v>157.9440002441406</v>
      </c>
      <c r="C3" t="n">
        <v>157.9470062255859</v>
      </c>
      <c r="D3" t="n">
        <v>157.947998046875</v>
      </c>
      <c r="E3" t="n">
        <v>157.8800048828125</v>
      </c>
      <c r="F3" t="n">
        <v>157.8470001220703</v>
      </c>
      <c r="G3" t="n">
        <v>157.8769989013672</v>
      </c>
      <c r="H3" t="n">
        <v>157.9049987792969</v>
      </c>
      <c r="I3">
        <f>(E3/C3-1)*100</f>
        <v/>
      </c>
      <c r="J3" t="inlineStr">
        <is>
          <t>%</t>
        </is>
      </c>
    </row>
    <row r="4">
      <c r="A4" t="inlineStr">
        <is>
          <t>NQ=F</t>
        </is>
      </c>
      <c r="B4" t="n">
        <v>30098.75</v>
      </c>
      <c r="C4" t="n">
        <v>30103</v>
      </c>
      <c r="D4" t="n">
        <v>30130.25</v>
      </c>
      <c r="E4" t="n">
        <v>30202.75</v>
      </c>
      <c r="F4" t="n">
        <v>30177.25</v>
      </c>
      <c r="G4" t="n">
        <v>30174</v>
      </c>
      <c r="H4" t="n">
        <v>30163.25</v>
      </c>
      <c r="I4">
        <f>(E4/C4-1)*100</f>
        <v/>
      </c>
      <c r="J4" t="inlineStr">
        <is>
          <t>%</t>
        </is>
      </c>
    </row>
    <row r="5">
      <c r="A5" t="inlineStr">
        <is>
          <t>ES=F</t>
        </is>
      </c>
      <c r="B5" t="n">
        <v>7793</v>
      </c>
      <c r="C5" t="n">
        <v>7791</v>
      </c>
      <c r="D5" t="n">
        <v>7795.25</v>
      </c>
      <c r="E5" t="n">
        <v>7804.25</v>
      </c>
      <c r="F5" t="n">
        <v>7802.5</v>
      </c>
      <c r="G5" t="n">
        <v>7801.25</v>
      </c>
      <c r="H5" t="n">
        <v>7798.5</v>
      </c>
      <c r="I5">
        <f>(E5/C5-1)*100</f>
        <v/>
      </c>
      <c r="J5" t="inlineStr">
        <is>
          <t>%</t>
        </is>
      </c>
    </row>
    <row r="6">
      <c r="A6" t="inlineStr">
        <is>
          <t>DX-Y.NYB</t>
        </is>
      </c>
      <c r="B6" t="n">
        <v>101.9909973144531</v>
      </c>
      <c r="C6" t="n">
        <v>101.9929962158203</v>
      </c>
      <c r="D6" t="n">
        <v>101.9800033569336</v>
      </c>
      <c r="E6" t="n">
        <v>101.8450012207031</v>
      </c>
      <c r="F6" t="n">
        <v>101.8789978027344</v>
      </c>
      <c r="G6" t="n">
        <v>101.9280014038086</v>
      </c>
      <c r="H6" t="n">
        <v>101.7760009765625</v>
      </c>
      <c r="I6">
        <f>(E6/C6-1)*100</f>
        <v/>
      </c>
      <c r="J6" t="inlineStr">
        <is>
          <t>%</t>
        </is>
      </c>
    </row>
    <row r="7">
      <c r="A7" t="inlineStr">
        <is>
          <t>GC=F</t>
        </is>
      </c>
      <c r="B7" t="n">
        <v>4196.89990234375</v>
      </c>
      <c r="C7" t="n">
        <v>4191.10009765625</v>
      </c>
      <c r="D7" t="n">
        <v>4192.10009765625</v>
      </c>
      <c r="E7" t="n">
        <v>4204.2998046875</v>
      </c>
      <c r="F7" t="n">
        <v>4199.7001953125</v>
      </c>
      <c r="G7" t="n">
        <v>4195.7001953125</v>
      </c>
      <c r="H7" t="n">
        <v>4209.5</v>
      </c>
      <c r="I7">
        <f>(E7/C7-1)*100</f>
        <v/>
      </c>
      <c r="J7" t="inlineStr">
        <is>
          <t>%</t>
        </is>
      </c>
    </row>
    <row r="8">
      <c r="A8" t="inlineStr">
        <is>
          <t>CL=F</t>
        </is>
      </c>
      <c r="B8" t="n">
        <v>95.81999969482422</v>
      </c>
      <c r="C8" t="n">
        <v>95.87000274658203</v>
      </c>
      <c r="D8" t="n">
        <v>95.79000091552734</v>
      </c>
      <c r="E8" t="n">
        <v>95.69000244140625</v>
      </c>
      <c r="F8" t="n">
        <v>95.79000091552734</v>
      </c>
      <c r="G8" t="n">
        <v>95.87000274658203</v>
      </c>
      <c r="H8" t="n">
        <v>95.91000366210938</v>
      </c>
      <c r="I8">
        <f>(E8/C8-1)*100</f>
        <v/>
      </c>
      <c r="J8" t="inlineStr">
        <is>
          <t>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Contract</t>
        </is>
      </c>
      <c r="B1" s="1" t="inlineStr">
        <is>
          <t>Pre 23:29 ET</t>
        </is>
      </c>
      <c r="C1" s="1" t="inlineStr">
        <is>
          <t>00:00 ET</t>
        </is>
      </c>
      <c r="D1" s="1" t="inlineStr">
        <is>
          <t>01:00 ET</t>
        </is>
      </c>
      <c r="E1" s="1" t="inlineStr">
        <is>
          <t>10/16 16:00 ET</t>
        </is>
      </c>
      <c r="F1" s="1" t="inlineStr">
        <is>
          <t>Last</t>
        </is>
      </c>
      <c r="G1" s="1" t="inlineStr">
        <is>
          <t>Δ pre→01:00 pp</t>
        </is>
      </c>
    </row>
    <row r="2">
      <c r="A2" t="inlineStr">
        <is>
          <t>Oct-28 hike 25bp</t>
        </is>
      </c>
      <c r="B2" t="n">
        <v>0.295</v>
      </c>
      <c r="C2" t="n">
        <v>0.185</v>
      </c>
      <c r="D2" t="n">
        <v>0.145</v>
      </c>
      <c r="E2" t="n">
        <v>0.135</v>
      </c>
      <c r="F2" t="n">
        <v>0.13</v>
      </c>
      <c r="G2">
        <f>(D2-B2)*100</f>
        <v/>
      </c>
    </row>
    <row r="3">
      <c r="A3" t="inlineStr">
        <is>
          <t>Dec hike 25bp</t>
        </is>
      </c>
      <c r="B3" t="n">
        <v>0.775</v>
      </c>
      <c r="E3" t="n">
        <v>0.765</v>
      </c>
      <c r="F3" t="n">
        <v>0.76</v>
      </c>
      <c r="G3">
        <f>(E3-B3)*100</f>
        <v/>
      </c>
    </row>
    <row r="4"/>
    <row r="5">
      <c r="A5" t="inlineStr">
        <is>
          <t>Locked dovish band: Oct odds ≤</t>
        </is>
      </c>
      <c r="B5" t="n">
        <v>0.3</v>
      </c>
      <c r="C5">
        <f>IF(D2&lt;=B5,"dovish band",IF(D2&gt;=0.55,"hawkish band","neutral band"))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Ticker</t>
        </is>
      </c>
      <c r="B1" s="1" t="inlineStr">
        <is>
          <t>10/15 close</t>
        </is>
      </c>
      <c r="C1" s="1" t="inlineStr">
        <is>
          <t>10/16 close</t>
        </is>
      </c>
      <c r="D1" s="1" t="inlineStr">
        <is>
          <t>Change</t>
        </is>
      </c>
    </row>
    <row r="2">
      <c r="A2" t="inlineStr">
        <is>
          <t>^GSPC</t>
        </is>
      </c>
      <c r="B2" t="n">
        <v>7744.06005859375</v>
      </c>
      <c r="C2" t="n">
        <v>7659.43994140625</v>
      </c>
      <c r="D2">
        <f>(C2/B2-1)*100</f>
        <v/>
      </c>
    </row>
    <row r="3">
      <c r="A3" t="inlineStr">
        <is>
          <t>^IXIC</t>
        </is>
      </c>
      <c r="B3" t="n">
        <v>26713.029296875</v>
      </c>
      <c r="C3" t="n">
        <v>26140.033203125</v>
      </c>
      <c r="D3">
        <f>(C3/B3-1)*100</f>
        <v/>
      </c>
    </row>
    <row r="4">
      <c r="A4" t="inlineStr">
        <is>
          <t>^NDX</t>
        </is>
      </c>
      <c r="B4" t="n">
        <v>29935.599609375</v>
      </c>
      <c r="C4" t="n">
        <v>29187.548828125</v>
      </c>
      <c r="D4">
        <f>(C4/B4-1)*100</f>
        <v/>
      </c>
    </row>
    <row r="5">
      <c r="A5" t="inlineStr">
        <is>
          <t>^SOX</t>
        </is>
      </c>
      <c r="B5" t="n">
        <v>11581.2099609375</v>
      </c>
      <c r="C5" t="n">
        <v>11137.287109375</v>
      </c>
      <c r="D5">
        <f>(C5/B5-1)*100</f>
        <v/>
      </c>
    </row>
    <row r="6">
      <c r="A6" t="inlineStr">
        <is>
          <t>^DJI</t>
        </is>
      </c>
      <c r="B6" t="n">
        <v>52177.69140625</v>
      </c>
      <c r="C6" t="n">
        <v>52002.41015625</v>
      </c>
      <c r="D6">
        <f>(C6/B6-1)*100</f>
        <v/>
      </c>
    </row>
    <row r="7">
      <c r="A7" t="inlineStr">
        <is>
          <t>^VIX</t>
        </is>
      </c>
      <c r="B7" t="n">
        <v>16.45999908447266</v>
      </c>
      <c r="C7" t="n">
        <v>19.98999977111816</v>
      </c>
      <c r="D7">
        <f>C7-B7</f>
        <v/>
      </c>
    </row>
    <row r="8">
      <c r="A8" t="inlineStr">
        <is>
          <t>^TNX</t>
        </is>
      </c>
      <c r="B8" t="n">
        <v>5.089000225067139</v>
      </c>
      <c r="C8" t="n">
        <v>5.098000049591064</v>
      </c>
      <c r="D8">
        <f>(C8-B8)*100</f>
        <v/>
      </c>
    </row>
    <row r="9">
      <c r="A9" t="inlineStr">
        <is>
          <t>CL=F</t>
        </is>
      </c>
      <c r="B9" t="n">
        <v>97.97000122070312</v>
      </c>
      <c r="C9" t="n">
        <v>99.04000091552734</v>
      </c>
      <c r="D9">
        <f>(C9/B9-1)*100</f>
        <v/>
      </c>
    </row>
    <row r="10">
      <c r="A10" t="inlineStr">
        <is>
          <t>BZ=F</t>
        </is>
      </c>
      <c r="B10" t="n">
        <v>105.9199981689453</v>
      </c>
      <c r="C10" t="n">
        <v>109.6900024414062</v>
      </c>
      <c r="D10">
        <f>(C10/B10-1)*100</f>
        <v/>
      </c>
    </row>
    <row r="11">
      <c r="A11" t="inlineStr">
        <is>
          <t>JPY=X</t>
        </is>
      </c>
      <c r="B11" t="n">
        <v>157.9570007324219</v>
      </c>
      <c r="C11" t="n">
        <v>157.9869995117188</v>
      </c>
      <c r="D11">
        <f>(C11/B11-1)*100</f>
        <v/>
      </c>
    </row>
    <row r="12">
      <c r="A12" t="inlineStr">
        <is>
          <t>NVDA</t>
        </is>
      </c>
      <c r="B12" t="n">
        <v>217.2299957275391</v>
      </c>
      <c r="D12">
        <f>(C12/B12-1)*100</f>
        <v/>
      </c>
    </row>
    <row r="13">
      <c r="A13" t="inlineStr">
        <is>
          <t>AMD</t>
        </is>
      </c>
      <c r="B13" t="n">
        <v>562.22998046875</v>
      </c>
      <c r="D13">
        <f>(C13/B13-1)*100</f>
        <v/>
      </c>
    </row>
    <row r="14">
      <c r="A14" t="inlineStr">
        <is>
          <t>CRWV</t>
        </is>
      </c>
      <c r="B14" t="n">
        <v>69.69000244140625</v>
      </c>
      <c r="D14">
        <f>(C14/B14-1)*100</f>
        <v/>
      </c>
    </row>
    <row r="15">
      <c r="A15" t="inlineStr">
        <is>
          <t>TSLA</t>
        </is>
      </c>
      <c r="B15" t="n">
        <v>362.4400024414062</v>
      </c>
      <c r="D15">
        <f>(C15/B15-1)*100</f>
        <v/>
      </c>
    </row>
    <row r="16">
      <c r="A16" t="inlineStr">
        <is>
          <t>MU</t>
        </is>
      </c>
      <c r="B16" t="n">
        <v>931.239990234375</v>
      </c>
      <c r="D16">
        <f>(C16/B16-1)*100</f>
        <v/>
      </c>
    </row>
    <row r="17">
      <c r="A17" t="inlineStr">
        <is>
          <t>TSM</t>
        </is>
      </c>
      <c r="B17" t="n">
        <v>422.25</v>
      </c>
      <c r="D17">
        <f>(C17/B17-1)*100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Item</t>
        </is>
      </c>
      <c r="B1" s="1" t="inlineStr">
        <is>
          <t>Source</t>
        </is>
      </c>
      <c r="C1" s="1" t="inlineStr">
        <is>
          <t>Class</t>
        </is>
      </c>
      <c r="D1" s="1" t="inlineStr">
        <is>
          <t>Time</t>
        </is>
      </c>
    </row>
    <row r="2">
      <c r="A2" t="inlineStr">
        <is>
          <t>Quotes</t>
        </is>
      </c>
      <c r="B2" t="inlineStr">
        <is>
          <t>https://www.cnbc.com/2026/10/16/feds-warsh-says-ai-development-path-will-be-very-bumpy-.html</t>
        </is>
      </c>
      <c r="C2" t="inlineStr">
        <is>
          <t>FACT (press)</t>
        </is>
      </c>
      <c r="D2" t="inlineStr">
        <is>
          <t>2026-10-16</t>
        </is>
      </c>
    </row>
    <row r="3">
      <c r="A3" t="inlineStr">
        <is>
          <t>Quotes</t>
        </is>
      </c>
      <c r="B3" t="inlineStr">
        <is>
          <t>https://www.bangkokpost.com/world/3338205/feds-warsh-surprised-by-world-economys-resilience</t>
        </is>
      </c>
      <c r="C3" t="inlineStr">
        <is>
          <t>FACT (press)</t>
        </is>
      </c>
      <c r="D3" t="inlineStr">
        <is>
          <t>2026-10-16</t>
        </is>
      </c>
    </row>
    <row r="4">
      <c r="A4" t="inlineStr">
        <is>
          <t>Key moments</t>
        </is>
      </c>
      <c r="B4" t="inlineStr">
        <is>
          <t>https://www.wsj.com/economy/central-banking/kevin-warsh-fed-chair-imf-speech-62c97df8</t>
        </is>
      </c>
      <c r="C4" t="inlineStr">
        <is>
          <t>FACT (press)</t>
        </is>
      </c>
      <c r="D4" t="inlineStr">
        <is>
          <t>2026-10-16</t>
        </is>
      </c>
    </row>
    <row r="5">
      <c r="A5" t="inlineStr">
        <is>
          <t>IMF plenary</t>
        </is>
      </c>
      <c r="B5" t="inlineStr">
        <is>
          <t>https://www.imf.org/en/news/articles/2026/10/16/101626-managing-director-annual-meetings-plenary</t>
        </is>
      </c>
      <c r="C5" t="inlineStr">
        <is>
          <t>FACT (primary)</t>
        </is>
      </c>
      <c r="D5" t="inlineStr">
        <is>
          <t>2026-10-16</t>
        </is>
      </c>
    </row>
    <row r="6">
      <c r="A6" t="inlineStr">
        <is>
          <t>Market wrap</t>
        </is>
      </c>
      <c r="B6" t="inlineStr">
        <is>
          <t>https://apnews.com/article/stocks-markets-us-ai-oil-tech-warsh-d2655f64db7ec8ae450525d58f97b628</t>
        </is>
      </c>
      <c r="C6" t="inlineStr">
        <is>
          <t>FACT (press)</t>
        </is>
      </c>
      <c r="D6" t="inlineStr">
        <is>
          <t>2026-10-16</t>
        </is>
      </c>
    </row>
    <row r="7">
      <c r="A7" t="inlineStr">
        <is>
          <t>Kalshi</t>
        </is>
      </c>
      <c r="B7" t="inlineStr">
        <is>
          <t>api.elections.kalshi.com</t>
        </is>
      </c>
      <c r="C7" t="inlineStr">
        <is>
          <t>MARKET-IMPLIED</t>
        </is>
      </c>
      <c r="D7" t="inlineStr">
        <is>
          <t>2026-10-17 08:01 SGT</t>
        </is>
      </c>
    </row>
    <row r="8">
      <c r="A8" t="inlineStr">
        <is>
          <t>Prices</t>
        </is>
      </c>
      <c r="B8" t="inlineStr">
        <is>
          <t>yfinance</t>
        </is>
      </c>
      <c r="C8" t="inlineStr">
        <is>
          <t>DATA</t>
        </is>
      </c>
      <c r="D8" t="inlineStr">
        <is>
          <t>2026-10-17 08:01 SGT</t>
        </is>
      </c>
    </row>
    <row r="9">
      <c r="A9" t="inlineStr">
        <is>
          <t>Locked expectations</t>
        </is>
      </c>
      <c r="B9" t="inlineStr">
        <is>
          <t>v20261015-1805</t>
        </is>
      </c>
      <c r="C9" t="inlineStr">
        <is>
          <t>HYPOTHESIS</t>
        </is>
      </c>
      <c r="D9" t="inlineStr">
        <is>
          <t>2026-10-15T18:05:53.902945+08:00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No.</t>
        </is>
      </c>
      <c r="B1" s="1" t="inlineStr">
        <is>
          <t>Assumption</t>
        </is>
      </c>
      <c r="C1" s="1" t="inlineStr">
        <is>
          <t>Type</t>
        </is>
      </c>
      <c r="D1" s="1" t="inlineStr">
        <is>
          <t>Test / failure</t>
        </is>
      </c>
    </row>
    <row r="2">
      <c r="A2" t="n">
        <v>1</v>
      </c>
      <c r="B2" t="inlineStr">
        <is>
          <t>Press quotes represent the remarks</t>
        </is>
      </c>
      <c r="C2" t="inlineStr">
        <is>
          <t>ASSUMPTION</t>
        </is>
      </c>
      <c r="D2" t="inlineStr">
        <is>
          <t>official transcript</t>
        </is>
      </c>
    </row>
    <row r="3">
      <c r="A3" t="n">
        <v>2</v>
      </c>
      <c r="B3" t="inlineStr">
        <is>
          <t>2Y ≈ −ΔZT/0.0194 per bp</t>
        </is>
      </c>
      <c r="C3" t="inlineStr">
        <is>
          <t>ESTIMATE</t>
        </is>
      </c>
      <c r="D3" t="inlineStr">
        <is>
          <t>&gt;3bp gap vs cash</t>
        </is>
      </c>
    </row>
    <row r="4">
      <c r="A4" t="n">
        <v>3</v>
      </c>
      <c r="B4" t="inlineStr">
        <is>
          <t>Kalshi mid ≈ probability</t>
        </is>
      </c>
      <c r="C4" t="inlineStr">
        <is>
          <t>ASSUMPTION</t>
        </is>
      </c>
      <c r="D4" t="inlineStr">
        <is>
          <t>spread &gt;5c</t>
        </is>
      </c>
    </row>
    <row r="5">
      <c r="A5" t="n">
        <v>4</v>
      </c>
      <c r="B5" t="inlineStr">
        <is>
          <t>Odds drop caused by the talk</t>
        </is>
      </c>
      <c r="C5" t="inlineStr">
        <is>
          <t>INFERENCE</t>
        </is>
      </c>
      <c r="D5" t="inlineStr">
        <is>
          <t>other same-hour news</t>
        </is>
      </c>
    </row>
    <row r="6">
      <c r="A6" t="n">
        <v>5</v>
      </c>
      <c r="B6" t="inlineStr">
        <is>
          <t>10/16 cash sell-off unrelated</t>
        </is>
      </c>
      <c r="C6" t="inlineStr">
        <is>
          <t>INFERENCE</t>
        </is>
      </c>
      <c r="D6" t="inlineStr">
        <is>
          <t>2Y up sharply on the 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2026-10-17T00:01:29Z</dcterms:created>
  <dcterms:modified xmlns:dcterms="http://purl.org/dc/terms/" xmlns:xsi="http://www.w3.org/2001/XMLSchema-instance" xsi:type="dcterms:W3CDTF">2026-10-17T00:01:29Z</dcterms:modified>
</cp:coreProperties>
</file>