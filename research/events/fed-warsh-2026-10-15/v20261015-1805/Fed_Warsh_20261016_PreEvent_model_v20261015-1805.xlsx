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rketPricing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LiveChecklist" sheetId="4" state="visible" r:id="rId4"/>
    <sheet xmlns:r="http://schemas.openxmlformats.org/officeDocument/2006/relationships" name="PhraseDecoder" sheetId="5" state="visible" r:id="rId5"/>
    <sheet xmlns:r="http://schemas.openxmlformats.org/officeDocument/2006/relationships" name="SourceLedger" sheetId="6" state="visible" r:id="rId6"/>
    <sheet xmlns:r="http://schemas.openxmlformats.org/officeDocument/2006/relationships" name="AssumptionRegister" sheetId="7" state="visible" r:id="rId7"/>
    <sheet xmlns:r="http://schemas.openxmlformats.org/officeDocument/2006/relationships" name="ModelProvena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Fed Chair Warsh fireside chat pre-event v20261015-1805</t>
        </is>
      </c>
    </row>
    <row r="2">
      <c r="A2" t="inlineStr">
        <is>
          <t>Fri 2026-10-16 11:30 SGT (Thu 23:30 ET). Fill LiveChecklist col E. Not investment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Oct hike prob %</t>
        </is>
      </c>
      <c r="C1" s="1" t="inlineStr">
        <is>
          <t>Source</t>
        </is>
      </c>
    </row>
    <row r="2">
      <c r="A2" t="inlineStr">
        <is>
          <t>CPI 前 pre-CPI</t>
        </is>
      </c>
      <c r="B2" t="n">
        <v>22</v>
      </c>
      <c r="C2" t="inlineStr">
        <is>
          <t>Yahoo/Benzinga 10/14</t>
        </is>
      </c>
    </row>
    <row r="3">
      <c r="A3" t="inlineStr">
        <is>
          <t>CPI 后 12:20 ET FedWatch</t>
        </is>
      </c>
      <c r="B3" t="n">
        <v>41.5</v>
      </c>
      <c r="C3" t="inlineStr">
        <is>
          <t>Yahoo/Benzinga 10/14</t>
        </is>
      </c>
    </row>
    <row r="4">
      <c r="A4" t="inlineStr">
        <is>
          <t>WSJ 引 CME 10/14 晚</t>
        </is>
      </c>
      <c r="B4" t="n">
        <v>49</v>
      </c>
      <c r="C4" t="inlineStr">
        <is>
          <t>WSJ 10/14</t>
        </is>
      </c>
    </row>
    <row r="5">
      <c r="A5" t="inlineStr">
        <is>
          <t>Cboe 收盘 10/14</t>
        </is>
      </c>
      <c r="B5" t="n">
        <v>32.7</v>
      </c>
      <c r="C5" t="inlineStr">
        <is>
          <t>Cboe 10/14</t>
        </is>
      </c>
    </row>
    <row r="6">
      <c r="A6" t="inlineStr">
        <is>
          <t>Average of reported points</t>
        </is>
      </c>
      <c r="B6">
        <f>AVERAGE(B2:B5)</f>
        <v/>
      </c>
      <c r="C6" t="inlineStr">
        <is>
          <t>calc</t>
        </is>
      </c>
    </row>
    <row r="7">
      <c r="A7" t="inlineStr">
        <is>
          <t>Range</t>
        </is>
      </c>
      <c r="B7">
        <f>MAX(B2:B5)-MIN(B2:B5)</f>
        <v/>
      </c>
      <c r="C7" t="inlineStr">
        <is>
          <t>calc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Prob</t>
        </is>
      </c>
      <c r="C1" s="1" t="inlineStr">
        <is>
          <t>Oct odds mid %</t>
        </is>
      </c>
      <c r="D1" s="1" t="inlineStr">
        <is>
          <t>2Y bp mid</t>
        </is>
      </c>
      <c r="E1" s="1" t="inlineStr">
        <is>
          <t>USDJPY mid</t>
        </is>
      </c>
      <c r="F1" s="1" t="inlineStr">
        <is>
          <t>NQ % mid</t>
        </is>
      </c>
    </row>
    <row r="2">
      <c r="A2" t="inlineStr">
        <is>
          <t>hawkish</t>
        </is>
      </c>
      <c r="B2" s="2" t="n">
        <v>0.3</v>
      </c>
      <c r="C2" s="2" t="n">
        <v>58</v>
      </c>
      <c r="D2" s="2" t="n">
        <v>4.5</v>
      </c>
      <c r="E2" s="2" t="n">
        <v>0.45</v>
      </c>
      <c r="F2" s="2" t="n">
        <v>-0.75</v>
      </c>
    </row>
    <row r="3">
      <c r="A3" t="inlineStr">
        <is>
          <t>neutral</t>
        </is>
      </c>
      <c r="B3" s="2" t="n">
        <v>0.5</v>
      </c>
      <c r="C3" s="2" t="n">
        <v>40</v>
      </c>
      <c r="D3" s="2" t="n">
        <v>0</v>
      </c>
      <c r="E3" s="2" t="n">
        <v>0</v>
      </c>
      <c r="F3" s="2" t="n">
        <v>0</v>
      </c>
    </row>
    <row r="4">
      <c r="A4" t="inlineStr">
        <is>
          <t>dovish</t>
        </is>
      </c>
      <c r="B4" s="2" t="n">
        <v>0.2</v>
      </c>
      <c r="C4" s="2" t="n">
        <v>27</v>
      </c>
      <c r="D4" s="2" t="n">
        <v>-4.5</v>
      </c>
      <c r="E4" s="2" t="n">
        <v>-0.45</v>
      </c>
      <c r="F4" s="2" t="n">
        <v>0.55</v>
      </c>
    </row>
    <row r="5">
      <c r="A5" t="inlineStr">
        <is>
          <t>Prob-weighted</t>
        </is>
      </c>
      <c r="B5">
        <f>SUM(B2:B4)</f>
        <v/>
      </c>
      <c r="C5">
        <f>SUMPRODUCT(B2:B4,C2:C4)</f>
        <v/>
      </c>
      <c r="D5">
        <f>SUMPRODUCT(B2:B4,D2:D4)</f>
        <v/>
      </c>
      <c r="E5">
        <f>SUMPRODUCT(B2:B4,E2:E4)</f>
        <v/>
      </c>
      <c r="F5">
        <f>SUMPRODUCT(B2:B4,F2:F4)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Dovish&lt;=</t>
        </is>
      </c>
      <c r="D1" s="1" t="inlineStr">
        <is>
          <t>Hawkish&gt;=</t>
        </is>
      </c>
      <c r="E1" s="1" t="inlineStr">
        <is>
          <t>Actual (fill)</t>
        </is>
      </c>
      <c r="F1" s="1" t="inlineStr">
        <is>
          <t>Read</t>
        </is>
      </c>
    </row>
    <row r="2">
      <c r="A2" t="n">
        <v>1</v>
      </c>
      <c r="B2" t="inlineStr">
        <is>
          <t>2Y futures 15m bp</t>
        </is>
      </c>
      <c r="C2" t="n">
        <v>-3</v>
      </c>
      <c r="D2" t="n">
        <v>3</v>
      </c>
      <c r="E2" s="2" t="n"/>
      <c r="F2">
        <f>IF(E2="","",IF(E2&lt;=C2,"Dovish",IF(E2&gt;=D2,"Hawkish","Neutral")))</f>
        <v/>
      </c>
    </row>
    <row r="3">
      <c r="A3" t="n">
        <v>2</v>
      </c>
      <c r="B3" t="inlineStr">
        <is>
          <t>USDJPY 15m change</t>
        </is>
      </c>
      <c r="C3" t="n">
        <v>-0.3</v>
      </c>
      <c r="D3" t="n">
        <v>0.3</v>
      </c>
      <c r="E3" s="2" t="n"/>
      <c r="F3">
        <f>IF(E3="","",IF(E3&lt;=C3,"Dovish",IF(E3&gt;=D3,"Hawkish","Neutral")))</f>
        <v/>
      </c>
    </row>
    <row r="4">
      <c r="A4" t="n">
        <v>3</v>
      </c>
      <c r="B4" t="inlineStr">
        <is>
          <t>Oct hike odds after (%)</t>
        </is>
      </c>
      <c r="C4" t="n">
        <v>30</v>
      </c>
      <c r="D4" t="n">
        <v>55</v>
      </c>
      <c r="E4" s="2" t="n"/>
      <c r="F4">
        <f>IF(E4="","",IF(E4&lt;=C4,"Dovish",IF(E4&gt;=D4,"Hawkish","Neutral")))</f>
        <v/>
      </c>
    </row>
    <row r="5">
      <c r="A5" t="n">
        <v>4</v>
      </c>
      <c r="B5" t="inlineStr">
        <is>
          <t>NQ futures 30m %</t>
        </is>
      </c>
      <c r="C5" t="n">
        <v>0.3</v>
      </c>
      <c r="D5" t="n">
        <v>-0.5</v>
      </c>
      <c r="E5" s="2" t="n"/>
      <c r="F5">
        <f>IF(E5="","",IF(E5&gt;=C5,"Dovish",IF(E5&lt;=D5,"Hawkish","Neutral")))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Read</t>
        </is>
      </c>
      <c r="C1" s="1" t="inlineStr">
        <is>
          <t>Source of phrase</t>
        </is>
      </c>
    </row>
    <row r="2">
      <c r="A2" t="inlineStr">
        <is>
          <t>not going to pre-judge</t>
        </is>
      </c>
      <c r="B2" t="inlineStr">
        <is>
          <t>Neutral</t>
        </is>
      </c>
      <c r="C2" t="inlineStr">
        <is>
          <t>9/16 presser</t>
        </is>
      </c>
    </row>
    <row r="3">
      <c r="A3" t="inlineStr">
        <is>
          <t>clearly and at sufficient speed (not satisfied)</t>
        </is>
      </c>
      <c r="B3" t="inlineStr">
        <is>
          <t>Hawkish</t>
        </is>
      </c>
      <c r="C3" t="inlineStr">
        <is>
          <t>Jackson Hole / 9/16</t>
        </is>
      </c>
    </row>
    <row r="4">
      <c r="A4" t="inlineStr">
        <is>
          <t>financial conditions not restrictive</t>
        </is>
      </c>
      <c r="B4" t="inlineStr">
        <is>
          <t>Hawkish</t>
        </is>
      </c>
      <c r="C4" t="inlineStr">
        <is>
          <t>9/16 presser</t>
        </is>
      </c>
    </row>
    <row r="5">
      <c r="A5" t="inlineStr">
        <is>
          <t>look through energy</t>
        </is>
      </c>
      <c r="B5" t="inlineStr">
        <is>
          <t>Dovish</t>
        </is>
      </c>
      <c r="C5" t="inlineStr">
        <is>
          <t>OS mapping</t>
        </is>
      </c>
    </row>
    <row r="6">
      <c r="A6" t="inlineStr">
        <is>
          <t>second-round effects</t>
        </is>
      </c>
      <c r="B6" t="inlineStr">
        <is>
          <t>Hawkish</t>
        </is>
      </c>
      <c r="C6" t="inlineStr">
        <is>
          <t>OS mapping</t>
        </is>
      </c>
    </row>
    <row r="7">
      <c r="A7" t="inlineStr">
        <is>
          <t>AI productivity / supply side</t>
        </is>
      </c>
      <c r="B7" t="inlineStr">
        <is>
          <t>Dovish (medium term)</t>
        </is>
      </c>
      <c r="C7" t="inlineStr">
        <is>
          <t>task force</t>
        </is>
      </c>
    </row>
    <row r="8">
      <c r="A8" t="inlineStr">
        <is>
          <t>balance sheet reduction</t>
        </is>
      </c>
      <c r="B8" t="inlineStr">
        <is>
          <t>Long-end term premium up</t>
        </is>
      </c>
      <c r="C8" t="inlineStr">
        <is>
          <t>CNBC 9/25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Date</t>
        </is>
      </c>
      <c r="C1" s="1" t="inlineStr">
        <is>
          <t>Use</t>
        </is>
      </c>
      <c r="D1" s="1" t="inlineStr">
        <is>
          <t>Class</t>
        </is>
      </c>
    </row>
    <row r="2">
      <c r="A2" t="inlineStr">
        <is>
          <t>federalreserve.gov Oct 2026 calendar</t>
        </is>
      </c>
      <c r="B2" t="inlineStr">
        <is>
          <t>2026-10-15</t>
        </is>
      </c>
      <c r="C2" t="inlineStr">
        <is>
          <t>23:30 ET CONFIRMED</t>
        </is>
      </c>
      <c r="D2" t="inlineStr">
        <is>
          <t>FACT</t>
        </is>
      </c>
    </row>
    <row r="3">
      <c r="A3" t="inlineStr">
        <is>
          <t>Fed 9/16 presser transcript</t>
        </is>
      </c>
      <c r="B3" t="inlineStr">
        <is>
          <t>2026-09-16</t>
        </is>
      </c>
      <c r="C3" t="inlineStr">
        <is>
          <t>quotes, 3.75-4.00%</t>
        </is>
      </c>
      <c r="D3" t="inlineStr">
        <is>
          <t>FACT</t>
        </is>
      </c>
    </row>
    <row r="4">
      <c r="A4" t="inlineStr">
        <is>
          <t>CNBC / TickerGrove</t>
        </is>
      </c>
      <c r="B4" t="inlineStr">
        <is>
          <t>2026-09</t>
        </is>
      </c>
      <c r="C4" t="inlineStr">
        <is>
          <t>neutral rate, task forces, balance sheet</t>
        </is>
      </c>
      <c r="D4" t="inlineStr">
        <is>
          <t>Reported</t>
        </is>
      </c>
    </row>
    <row r="5">
      <c r="A5" t="inlineStr">
        <is>
          <t>Yahoo/Benzinga, WSJ, Cboe, Reuters</t>
        </is>
      </c>
      <c r="B5" t="inlineStr">
        <is>
          <t>2026-10-14</t>
        </is>
      </c>
      <c r="C5" t="inlineStr">
        <is>
          <t>Oct odds</t>
        </is>
      </c>
      <c r="D5" t="inlineStr">
        <is>
          <t>MARKET EXP</t>
        </is>
      </c>
    </row>
    <row r="6">
      <c r="A6" t="inlineStr">
        <is>
          <t>FRED DFEDTARU/DGS2/DGS10</t>
        </is>
      </c>
      <c r="B6" t="inlineStr">
        <is>
          <t>latest</t>
        </is>
      </c>
      <c r="C6" t="inlineStr">
        <is>
          <t>rates</t>
        </is>
      </c>
      <c r="D6" t="inlineStr">
        <is>
          <t>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Assumption</t>
        </is>
      </c>
      <c r="C1" s="1" t="inlineStr">
        <is>
          <t>Falsifier</t>
        </is>
      </c>
    </row>
    <row r="2">
      <c r="A2" t="n">
        <v>1</v>
      </c>
      <c r="B2" t="inlineStr">
        <is>
          <t>Blackout from Oct 17; last Chair remarks</t>
        </is>
      </c>
      <c r="C2" t="inlineStr">
        <is>
          <t>Fed schedules another appearance</t>
        </is>
      </c>
    </row>
    <row r="3">
      <c r="A3" t="n">
        <v>2</v>
      </c>
      <c r="B3" t="inlineStr">
        <is>
          <t>Subjective probs (no base rate)</t>
        </is>
      </c>
      <c r="C3" t="inlineStr">
        <is>
          <t>post-mortem calibration</t>
        </is>
      </c>
    </row>
    <row r="4">
      <c r="A4" t="n">
        <v>3</v>
      </c>
      <c r="B4" t="inlineStr">
        <is>
          <t>Asia-session reaction may reverse at US open</t>
        </is>
      </c>
      <c r="C4" t="inlineStr">
        <is>
          <t>persists &gt;6h</t>
        </is>
      </c>
    </row>
    <row r="5">
      <c r="A5" t="n">
        <v>4</v>
      </c>
      <c r="B5" t="inlineStr">
        <is>
          <t>Order-of-magnitude reaction sizes</t>
        </is>
      </c>
      <c r="C5" t="inlineStr">
        <is>
          <t>n/a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Version</t>
        </is>
      </c>
      <c r="B2" t="inlineStr">
        <is>
          <t>v20261015-1805</t>
        </is>
      </c>
    </row>
    <row r="3">
      <c r="A3" t="inlineStr">
        <is>
          <t>Builder</t>
        </is>
      </c>
      <c r="B3" t="inlineStr">
        <is>
          <t>pipeline/build_1015_pre.py</t>
        </is>
      </c>
    </row>
    <row r="4">
      <c r="A4" t="inlineStr">
        <is>
          <t>Locked SGT</t>
        </is>
      </c>
      <c r="B4" t="inlineStr">
        <is>
          <t>2026-10-15 18:05</t>
        </is>
      </c>
    </row>
    <row r="5">
      <c r="A5" t="inlineStr">
        <is>
          <t>Calibration</t>
        </is>
      </c>
      <c r="B5" t="inlineStr">
        <is>
          <t>{"rule": "v2026-10-14 shrink\u226550% if gap&gt;20pp", "applied": false, "reason": "base rate unavailable \u2014 state it; do not invent", "raw": {"hawkish": 0.3, "neutral": 0.5, "dovish": 0.2}}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2026-10-15T10:05:53Z</dcterms:created>
  <dcterms:modified xmlns:dcterms="http://purl.org/dc/terms/" xmlns:xsi="http://www.w3.org/2001/XMLSchema-instance" xsi:type="dcterms:W3CDTF">2026-10-15T10:05:53Z</dcterms:modified>
</cp:coreProperties>
</file>