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prise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RatesPath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Kalshi" sheetId="6" state="visible" r:id="rId6"/>
    <sheet xmlns:r="http://schemas.openxmlformats.org/officeDocument/2006/relationships" name="SourceLedger" sheetId="7" state="visible" r:id="rId7"/>
    <sheet xmlns:r="http://schemas.openxmlformats.org/officeDocument/2006/relationships" name="AssumptionRegi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Metric</t>
        </is>
      </c>
      <c r="B1" s="1" t="inlineStr">
        <is>
          <t>Actual %</t>
        </is>
      </c>
      <c r="C1" s="1" t="inlineStr">
        <is>
          <t>Consensus % (locked)</t>
        </is>
      </c>
      <c r="D1" s="1" t="inlineStr">
        <is>
          <t>OS % (locked)</t>
        </is>
      </c>
      <c r="E1" s="1" t="inlineStr">
        <is>
          <t>Surprise vs consensus (pp)</t>
        </is>
      </c>
      <c r="F1" s="1" t="inlineStr">
        <is>
          <t>OS error (pp)</t>
        </is>
      </c>
    </row>
    <row r="2">
      <c r="A2" t="inlineStr">
        <is>
          <t>总额 Headline MoM</t>
        </is>
      </c>
      <c r="B2" t="n">
        <v>0.7708</v>
      </c>
      <c r="C2" t="n">
        <v>0.3</v>
      </c>
      <c r="D2" t="n">
        <v>0.2</v>
      </c>
      <c r="E2">
        <f>IF(OR(B2="",C2=""),"",B2-C2)</f>
        <v/>
      </c>
      <c r="F2">
        <f>IF(OR(B2="",D2=""),"",B2-D2)</f>
        <v/>
      </c>
    </row>
    <row r="3">
      <c r="A3" t="inlineStr">
        <is>
          <t>除汽车 Ex-auto MoM</t>
        </is>
      </c>
      <c r="B3" t="n">
        <v>0.8988</v>
      </c>
      <c r="C3" t="n">
        <v>0.5</v>
      </c>
      <c r="D3" t="n">
        <v>0.4</v>
      </c>
      <c r="E3">
        <f>IF(OR(B3="",C3=""),"",B3-C3)</f>
        <v/>
      </c>
      <c r="F3">
        <f>IF(OR(B3="",D3=""),"",B3-D3)</f>
        <v/>
      </c>
    </row>
    <row r="4">
      <c r="A4" t="inlineStr">
        <is>
          <t>除汽车与汽油 Ex-auto &amp; gas</t>
        </is>
      </c>
      <c r="B4" t="n">
        <v>0.2463</v>
      </c>
      <c r="E4">
        <f>IF(OR(B4="",C4=""),"",B4-C4)</f>
        <v/>
      </c>
      <c r="F4">
        <f>IF(OR(B4="",D4=""),"",B4-D4)</f>
        <v/>
      </c>
    </row>
    <row r="5">
      <c r="A5" t="inlineStr">
        <is>
          <t>控制组 Control group</t>
        </is>
      </c>
      <c r="B5" t="n">
        <v>0.1356</v>
      </c>
      <c r="C5" t="n">
        <v>0.3</v>
      </c>
      <c r="D5" t="n">
        <v>0</v>
      </c>
      <c r="E5">
        <f>IF(OR(B5="",C5=""),"",B5-C5)</f>
        <v/>
      </c>
      <c r="F5">
        <f>IF(OR(B5="",D5=""),"",B5-D5)</f>
        <v/>
      </c>
    </row>
    <row r="6"/>
    <row r="7">
      <c r="A7" t="inlineStr">
        <is>
          <t>Weak: headline ≤</t>
        </is>
      </c>
      <c r="B7" t="n">
        <v>0</v>
      </c>
      <c r="C7" t="inlineStr">
        <is>
          <t>or control ≤</t>
        </is>
      </c>
      <c r="D7" t="n">
        <v>-0.2</v>
      </c>
    </row>
    <row r="8">
      <c r="A8" t="inlineStr">
        <is>
          <t>Strong: headline ≥</t>
        </is>
      </c>
      <c r="B8" t="n">
        <v>0.7</v>
      </c>
      <c r="C8" t="inlineStr">
        <is>
          <t>or control ≥</t>
        </is>
      </c>
      <c r="D8" t="n">
        <v>0.6</v>
      </c>
    </row>
    <row r="9">
      <c r="A9" t="inlineStr">
        <is>
          <t>Locked-rule bucket</t>
        </is>
      </c>
      <c r="B9">
        <f>IF(OR(ROUND(B2,1)&lt;=B7,ROUND(B5,1)&lt;=D7),"weak",IF(OR(ROUND(B2,1)&gt;=B8,ROUND(B5,1)&gt;=D8),"strong","inline"))</f>
        <v/>
      </c>
    </row>
    <row r="10">
      <c r="A10" t="inlineStr">
        <is>
          <t>Control-only bucket</t>
        </is>
      </c>
      <c r="B10">
        <f>IF(ROUND(B5,1)&lt;=D7,"weak",IF(ROUND(B5,1)&gt;=D8,"strong","inline"))</f>
        <v/>
      </c>
    </row>
    <row r="11">
      <c r="A11" t="inlineStr">
        <is>
          <t>Fake-strong sub-scenario (headline≥0.7 &amp; control≤0.1)</t>
        </is>
      </c>
      <c r="B11">
        <f>AND(ROUND(B2,1)&gt;=0.7,ROUND(B5,1)&lt;=0.1)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Scenario</t>
        </is>
      </c>
      <c r="B1" s="1" t="inlineStr">
        <is>
          <t>OS locked p</t>
        </is>
      </c>
      <c r="C1" s="1" t="inlineStr">
        <is>
          <t>Base rate</t>
        </is>
      </c>
      <c r="D1" s="1" t="inlineStr">
        <is>
          <t>Uniform</t>
        </is>
      </c>
      <c r="E1" s="1" t="inlineStr">
        <is>
          <t>Outcome (1/0)</t>
        </is>
      </c>
      <c r="F1" s="1" t="inlineStr">
        <is>
          <t>Brier OS</t>
        </is>
      </c>
      <c r="G1" s="1" t="inlineStr">
        <is>
          <t>Brier base</t>
        </is>
      </c>
      <c r="H1" s="1" t="inlineStr">
        <is>
          <t>Brier uniform</t>
        </is>
      </c>
    </row>
    <row r="2">
      <c r="A2" t="inlineStr">
        <is>
          <t>weak</t>
        </is>
      </c>
      <c r="B2" t="n">
        <v>0.25</v>
      </c>
      <c r="C2" t="n">
        <v>0.3333333333333333</v>
      </c>
      <c r="D2" t="n">
        <v>0.3333333333333333</v>
      </c>
      <c r="E2">
        <f>IF(Surprise!B9=A2,1,0)</f>
        <v/>
      </c>
      <c r="F2">
        <f>(B2-E2)^2</f>
        <v/>
      </c>
      <c r="G2">
        <f>(C2-E2)^2</f>
        <v/>
      </c>
      <c r="H2">
        <f>(D2-E2)^2</f>
        <v/>
      </c>
    </row>
    <row r="3">
      <c r="A3" t="inlineStr">
        <is>
          <t>inline</t>
        </is>
      </c>
      <c r="B3" t="n">
        <v>0.55</v>
      </c>
      <c r="C3" t="n">
        <v>0.3611111111111112</v>
      </c>
      <c r="D3" t="n">
        <v>0.3333333333333333</v>
      </c>
      <c r="E3">
        <f>IF(Surprise!B9=A3,1,0)</f>
        <v/>
      </c>
      <c r="F3">
        <f>(B3-E3)^2</f>
        <v/>
      </c>
      <c r="G3">
        <f>(C3-E3)^2</f>
        <v/>
      </c>
      <c r="H3">
        <f>(D3-E3)^2</f>
        <v/>
      </c>
    </row>
    <row r="4">
      <c r="A4" t="inlineStr">
        <is>
          <t>strong</t>
        </is>
      </c>
      <c r="B4" t="n">
        <v>0.2</v>
      </c>
      <c r="C4" t="n">
        <v>0.3055555555555556</v>
      </c>
      <c r="D4" t="n">
        <v>0.3333333333333333</v>
      </c>
      <c r="E4">
        <f>IF(Surprise!B9=A4,1,0)</f>
        <v/>
      </c>
      <c r="F4">
        <f>(B4-E4)^2</f>
        <v/>
      </c>
      <c r="G4">
        <f>(C4-E4)^2</f>
        <v/>
      </c>
      <c r="H4">
        <f>(D4-E4)^2</f>
        <v/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Winner (lowest Brier)</t>
        </is>
      </c>
      <c r="B6">
        <f>INDEX({"OS","Base","Uniform"},MATCH(MIN(F5:H5),F5:H5,0))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Component</t>
        </is>
      </c>
      <c r="B1" s="1" t="inlineStr">
        <is>
          <t>MoM %</t>
        </is>
      </c>
      <c r="C1" s="1" t="inlineStr">
        <is>
          <t>Prior MoM %</t>
        </is>
      </c>
      <c r="D1" s="1" t="inlineStr">
        <is>
          <t>Acceleration (pp)</t>
        </is>
      </c>
    </row>
    <row r="2">
      <c r="A2" t="inlineStr">
        <is>
          <t>加油站 Gasoline stations</t>
        </is>
      </c>
      <c r="B2" t="n">
        <v>6.3659</v>
      </c>
      <c r="C2" t="n">
        <v>3.9685</v>
      </c>
      <c r="D2">
        <f>IF(C2="","",B2-C2)</f>
        <v/>
      </c>
    </row>
    <row r="3">
      <c r="A3" t="inlineStr">
        <is>
          <t>餐饮 Food services</t>
        </is>
      </c>
      <c r="B3" t="n">
        <v>1.1145</v>
      </c>
      <c r="C3" t="n">
        <v>1.3568</v>
      </c>
      <c r="D3">
        <f>IF(C3="","",B3-C3)</f>
        <v/>
      </c>
    </row>
    <row r="4">
      <c r="A4" t="inlineStr">
        <is>
          <t>家具 Furniture</t>
        </is>
      </c>
      <c r="B4" t="n">
        <v>1.2975</v>
      </c>
      <c r="C4" t="n">
        <v>0.1993</v>
      </c>
      <c r="D4">
        <f>IF(C4="","",B4-C4)</f>
        <v/>
      </c>
    </row>
    <row r="5">
      <c r="A5" t="inlineStr">
        <is>
          <t>电子电器 Electronics</t>
        </is>
      </c>
      <c r="B5" t="n">
        <v>0.6021</v>
      </c>
      <c r="C5" t="n">
        <v>2.0926</v>
      </c>
      <c r="D5">
        <f>IF(C5="","",B5-C5)</f>
        <v/>
      </c>
    </row>
    <row r="6">
      <c r="A6" t="inlineStr">
        <is>
          <t>健康个护 Health &amp; personal</t>
        </is>
      </c>
      <c r="B6" t="n">
        <v>0.7312</v>
      </c>
      <c r="C6" t="n">
        <v>1.2146</v>
      </c>
      <c r="D6">
        <f>IF(C6="","",B6-C6)</f>
        <v/>
      </c>
    </row>
    <row r="7">
      <c r="A7" t="inlineStr">
        <is>
          <t>无店铺/网购 Nonstore</t>
        </is>
      </c>
      <c r="B7" t="n">
        <v>0.2881</v>
      </c>
      <c r="C7" t="n">
        <v>2.0244</v>
      </c>
      <c r="D7">
        <f>IF(C7="","",B7-C7)</f>
        <v/>
      </c>
    </row>
    <row r="8">
      <c r="A8" t="inlineStr">
        <is>
          <t>食品饮料店 Food &amp; bev stores</t>
        </is>
      </c>
      <c r="B8" t="n">
        <v>0.3883</v>
      </c>
      <c r="C8" t="n">
        <v>0.2022</v>
      </c>
      <c r="D8">
        <f>IF(C8="","",B8-C8)</f>
        <v/>
      </c>
    </row>
    <row r="9">
      <c r="A9" t="inlineStr">
        <is>
          <t>汽车及零件 Motor vehicles</t>
        </is>
      </c>
      <c r="B9" t="n">
        <v>0.2207</v>
      </c>
      <c r="C9" t="n">
        <v>0.6834</v>
      </c>
      <c r="D9">
        <f>IF(C9="","",B9-C9)</f>
        <v/>
      </c>
    </row>
    <row r="10">
      <c r="A10" t="inlineStr">
        <is>
          <t>服装 Clothing</t>
        </is>
      </c>
      <c r="B10" t="n">
        <v>-0.0302</v>
      </c>
      <c r="C10" t="n">
        <v>0.6039</v>
      </c>
      <c r="D10">
        <f>IF(C10="","",B10-C10)</f>
        <v/>
      </c>
    </row>
    <row r="11">
      <c r="A11" t="inlineStr">
        <is>
          <t>综合商品 General merch.</t>
        </is>
      </c>
      <c r="B11" t="n">
        <v>-0.08309999999999999</v>
      </c>
      <c r="C11" t="n">
        <v>0.7522</v>
      </c>
      <c r="D11">
        <f>IF(C11="","",B11-C11)</f>
        <v/>
      </c>
    </row>
    <row r="12">
      <c r="A12" t="inlineStr">
        <is>
          <t>体育/爱好 Sporting/hobby</t>
        </is>
      </c>
      <c r="B12" t="n">
        <v>-0.5271</v>
      </c>
      <c r="C12" t="n">
        <v>1.0069</v>
      </c>
      <c r="D12">
        <f>IF(C12="","",B12-C12)</f>
        <v/>
      </c>
    </row>
    <row r="13">
      <c r="A13" t="inlineStr">
        <is>
          <t>建材园艺 Building mat.</t>
        </is>
      </c>
      <c r="B13" t="n">
        <v>-0.555</v>
      </c>
      <c r="C13" t="n">
        <v>0.2035</v>
      </c>
      <c r="D13">
        <f>IF(C13="","",B13-C13)</f>
        <v/>
      </c>
    </row>
    <row r="14">
      <c r="A14" t="inlineStr">
        <is>
          <t>杂项零售 Misc. stores</t>
        </is>
      </c>
      <c r="B14" t="n">
        <v>-3.021</v>
      </c>
      <c r="C14" t="n">
        <v>3.5535</v>
      </c>
      <c r="D14">
        <f>IF(C14="","",B14-C14)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Time ET</t>
        </is>
      </c>
      <c r="B1" s="1" t="inlineStr">
        <is>
          <t>10Y % (^TNX)</t>
        </is>
      </c>
      <c r="C1" s="1" t="inlineStr">
        <is>
          <t>5Y % (^FVX)</t>
        </is>
      </c>
      <c r="D1" s="1" t="inlineStr">
        <is>
          <t>ZT=F price</t>
        </is>
      </c>
      <c r="E1" s="1" t="inlineStr">
        <is>
          <t>10Y bp vs 08:29</t>
        </is>
      </c>
      <c r="F1" s="1" t="inlineStr">
        <is>
          <t>2Y bp vs 08:29 (ZT est.)</t>
        </is>
      </c>
      <c r="G1" s="1" t="inlineStr">
        <is>
          <t>DV01 per bp (ZT)</t>
        </is>
      </c>
    </row>
    <row r="2">
      <c r="E2">
        <f>IF(B2="","",(B2-$B$6)*100)</f>
        <v/>
      </c>
      <c r="F2">
        <f>IF(D2="","",-(D2-$D$6)/$G$2)</f>
        <v/>
      </c>
      <c r="G2" t="n">
        <v>0.0194</v>
      </c>
    </row>
    <row r="3">
      <c r="A3" t="inlineStr">
        <is>
          <t>08:00</t>
        </is>
      </c>
      <c r="D3" t="n">
        <v>101.9296875</v>
      </c>
      <c r="E3">
        <f>IF(B3="","",(B3-$B$6)*100)</f>
        <v/>
      </c>
      <c r="F3">
        <f>IF(D3="","",-(D3-$D$6)/$G$2)</f>
        <v/>
      </c>
    </row>
    <row r="4">
      <c r="A4" t="inlineStr">
        <is>
          <t>08:15</t>
        </is>
      </c>
      <c r="D4" t="n">
        <v>101.9375</v>
      </c>
      <c r="E4">
        <f>IF(B4="","",(B4-$B$6)*100)</f>
        <v/>
      </c>
      <c r="F4">
        <f>IF(D4="","",-(D4-$D$6)/$G$2)</f>
        <v/>
      </c>
    </row>
    <row r="5">
      <c r="A5" t="inlineStr">
        <is>
          <t>08:20</t>
        </is>
      </c>
      <c r="B5" t="n">
        <v>5.081000328063965</v>
      </c>
      <c r="C5" t="n">
        <v>4.8919997215271</v>
      </c>
      <c r="D5" t="n">
        <v>101.9453125</v>
      </c>
      <c r="E5">
        <f>IF(B5="","",(B5-$B$6)*100)</f>
        <v/>
      </c>
      <c r="F5">
        <f>IF(D5="","",-(D5-$D$6)/$G$2)</f>
        <v/>
      </c>
    </row>
    <row r="6">
      <c r="A6" t="inlineStr">
        <is>
          <t>08:25</t>
        </is>
      </c>
      <c r="B6" t="n">
        <v>5.083000183105469</v>
      </c>
      <c r="C6" t="n">
        <v>4.894000053405762</v>
      </c>
      <c r="D6" t="n">
        <v>101.94140625</v>
      </c>
      <c r="E6">
        <f>IF(B6="","",(B6-$B$6)*100)</f>
        <v/>
      </c>
      <c r="F6">
        <f>IF(D6="","",-(D6-$D$6)/$G$2)</f>
        <v/>
      </c>
    </row>
    <row r="7">
      <c r="A7" t="inlineStr">
        <is>
          <t>08:29</t>
        </is>
      </c>
      <c r="B7" t="n">
        <v>5.081000328063965</v>
      </c>
      <c r="C7" t="n">
        <v>4.890000343322754</v>
      </c>
      <c r="D7" t="n">
        <v>101.94921875</v>
      </c>
      <c r="E7">
        <f>IF(B7="","",(B7-$B$6)*100)</f>
        <v/>
      </c>
      <c r="F7">
        <f>IF(D7="","",-(D7-$D$6)/$G$2)</f>
        <v/>
      </c>
    </row>
    <row r="8">
      <c r="A8" t="inlineStr">
        <is>
          <t>08:30</t>
        </is>
      </c>
      <c r="B8" t="n">
        <v>5.092999935150146</v>
      </c>
      <c r="C8" t="n">
        <v>4.907999992370605</v>
      </c>
      <c r="D8" t="n">
        <v>101.921875</v>
      </c>
      <c r="E8">
        <f>IF(B8="","",(B8-$B$6)*100)</f>
        <v/>
      </c>
      <c r="F8">
        <f>IF(D8="","",-(D8-$D$6)/$G$2)</f>
        <v/>
      </c>
    </row>
    <row r="9">
      <c r="A9" t="inlineStr">
        <is>
          <t>08:31</t>
        </is>
      </c>
      <c r="B9" t="n">
        <v>5.095000267028809</v>
      </c>
      <c r="C9" t="n">
        <v>4.913000106811523</v>
      </c>
      <c r="D9" t="n">
        <v>101.90625</v>
      </c>
      <c r="E9">
        <f>IF(B9="","",(B9-$B$6)*100)</f>
        <v/>
      </c>
      <c r="F9">
        <f>IF(D9="","",-(D9-$D$6)/$G$2)</f>
        <v/>
      </c>
    </row>
    <row r="10">
      <c r="A10" t="inlineStr">
        <is>
          <t>08:32</t>
        </is>
      </c>
      <c r="B10" t="n">
        <v>5.099999904632568</v>
      </c>
      <c r="C10" t="n">
        <v>4.921999931335449</v>
      </c>
      <c r="D10" t="n">
        <v>101.8828125</v>
      </c>
      <c r="E10">
        <f>IF(B10="","",(B10-$B$6)*100)</f>
        <v/>
      </c>
      <c r="F10">
        <f>IF(D10="","",-(D10-$D$6)/$G$2)</f>
        <v/>
      </c>
    </row>
    <row r="11">
      <c r="A11" t="inlineStr">
        <is>
          <t>08:33</t>
        </is>
      </c>
      <c r="B11" t="n">
        <v>5.098000049591064</v>
      </c>
      <c r="C11" t="n">
        <v>4.920000076293945</v>
      </c>
      <c r="D11" t="n">
        <v>101.8828125</v>
      </c>
      <c r="E11">
        <f>IF(B11="","",(B11-$B$6)*100)</f>
        <v/>
      </c>
      <c r="F11">
        <f>IF(D11="","",-(D11-$D$6)/$G$2)</f>
        <v/>
      </c>
    </row>
    <row r="12">
      <c r="A12" t="inlineStr">
        <is>
          <t>08:35</t>
        </is>
      </c>
      <c r="B12" t="n">
        <v>5.085000038146973</v>
      </c>
      <c r="C12" t="n">
        <v>4.907999992370605</v>
      </c>
      <c r="D12" t="n">
        <v>101.90234375</v>
      </c>
      <c r="E12">
        <f>IF(B12="","",(B12-$B$6)*100)</f>
        <v/>
      </c>
      <c r="F12">
        <f>IF(D12="","",-(D12-$D$6)/$G$2)</f>
        <v/>
      </c>
    </row>
    <row r="13">
      <c r="A13" t="inlineStr">
        <is>
          <t>08:40</t>
        </is>
      </c>
      <c r="B13" t="n">
        <v>5.056000232696533</v>
      </c>
      <c r="C13" t="n">
        <v>4.884999752044678</v>
      </c>
      <c r="D13" t="n">
        <v>101.94140625</v>
      </c>
      <c r="E13">
        <f>IF(B13="","",(B13-$B$6)*100)</f>
        <v/>
      </c>
      <c r="F13">
        <f>IF(D13="","",-(D13-$D$6)/$G$2)</f>
        <v/>
      </c>
    </row>
    <row r="14">
      <c r="A14" t="inlineStr">
        <is>
          <t>08:45</t>
        </is>
      </c>
      <c r="B14" t="n">
        <v>5.061999797821045</v>
      </c>
      <c r="C14" t="n">
        <v>4.883000373840332</v>
      </c>
      <c r="D14" t="n">
        <v>101.9375</v>
      </c>
      <c r="E14">
        <f>IF(B14="","",(B14-$B$6)*100)</f>
        <v/>
      </c>
      <c r="F14">
        <f>IF(D14="","",-(D14-$D$6)/$G$2)</f>
        <v/>
      </c>
    </row>
    <row r="15">
      <c r="A15" t="inlineStr">
        <is>
          <t>08:50</t>
        </is>
      </c>
      <c r="B15" t="n">
        <v>5.067999839782715</v>
      </c>
      <c r="C15" t="n">
        <v>4.890000343322754</v>
      </c>
      <c r="D15" t="n">
        <v>101.91796875</v>
      </c>
      <c r="E15">
        <f>IF(B15="","",(B15-$B$6)*100)</f>
        <v/>
      </c>
      <c r="F15">
        <f>IF(D15="","",-(D15-$D$6)/$G$2)</f>
        <v/>
      </c>
    </row>
    <row r="16">
      <c r="A16" t="inlineStr">
        <is>
          <t>08:55</t>
        </is>
      </c>
      <c r="B16" t="n">
        <v>5.061999797821045</v>
      </c>
      <c r="C16" t="n">
        <v>4.883000373840332</v>
      </c>
      <c r="D16" t="n">
        <v>101.9453125</v>
      </c>
      <c r="E16">
        <f>IF(B16="","",(B16-$B$6)*100)</f>
        <v/>
      </c>
      <c r="F16">
        <f>IF(D16="","",-(D16-$D$6)/$G$2)</f>
        <v/>
      </c>
    </row>
    <row r="17">
      <c r="A17" t="inlineStr">
        <is>
          <t>09:00</t>
        </is>
      </c>
      <c r="B17" t="n">
        <v>5.052000045776367</v>
      </c>
      <c r="C17" t="n">
        <v>4.865000247955322</v>
      </c>
      <c r="D17" t="n">
        <v>101.98046875</v>
      </c>
      <c r="E17">
        <f>IF(B17="","",(B17-$B$6)*100)</f>
        <v/>
      </c>
      <c r="F17">
        <f>IF(D17="","",-(D17-$D$6)/$G$2)</f>
        <v/>
      </c>
    </row>
    <row r="18">
      <c r="A18" t="inlineStr">
        <is>
          <t>09:05</t>
        </is>
      </c>
      <c r="B18" t="n">
        <v>5.061999797821045</v>
      </c>
      <c r="C18" t="n">
        <v>4.877999782562256</v>
      </c>
      <c r="D18" t="n">
        <v>101.96484375</v>
      </c>
      <c r="E18">
        <f>IF(B18="","",(B18-$B$6)*100)</f>
        <v/>
      </c>
      <c r="F18">
        <f>IF(D18="","",-(D18-$D$6)/$G$2)</f>
        <v/>
      </c>
    </row>
    <row r="19">
      <c r="A19" t="inlineStr">
        <is>
          <t>09:10</t>
        </is>
      </c>
      <c r="B19" t="n">
        <v>5.065999984741211</v>
      </c>
      <c r="C19" t="n">
        <v>4.883000373840332</v>
      </c>
      <c r="D19" t="n">
        <v>101.95703125</v>
      </c>
      <c r="E19">
        <f>IF(B19="","",(B19-$B$6)*100)</f>
        <v/>
      </c>
      <c r="F19">
        <f>IF(D19="","",-(D19-$D$6)/$G$2)</f>
        <v/>
      </c>
    </row>
    <row r="20">
      <c r="A20" t="inlineStr">
        <is>
          <t>09:15</t>
        </is>
      </c>
      <c r="B20" t="n">
        <v>5.053999900817871</v>
      </c>
      <c r="C20" t="n">
        <v>4.868000030517578</v>
      </c>
      <c r="D20" t="n">
        <v>101.98828125</v>
      </c>
      <c r="E20">
        <f>IF(B20="","",(B20-$B$6)*100)</f>
        <v/>
      </c>
      <c r="F20">
        <f>IF(D20="","",-(D20-$D$6)/$G$2)</f>
        <v/>
      </c>
    </row>
    <row r="21">
      <c r="A21" t="inlineStr">
        <is>
          <t>09:20</t>
        </is>
      </c>
      <c r="B21" t="n">
        <v>5.056000232696533</v>
      </c>
      <c r="C21" t="n">
        <v>4.869999885559082</v>
      </c>
      <c r="D21" t="n">
        <v>101.9765625</v>
      </c>
      <c r="E21">
        <f>IF(B21="","",(B21-$B$6)*100)</f>
        <v/>
      </c>
      <c r="F21">
        <f>IF(D21="","",-(D21-$D$6)/$G$2)</f>
        <v/>
      </c>
    </row>
    <row r="22">
      <c r="A22" t="inlineStr">
        <is>
          <t>09:25</t>
        </is>
      </c>
      <c r="B22" t="n">
        <v>5.045000076293945</v>
      </c>
      <c r="C22" t="n">
        <v>4.861000061035156</v>
      </c>
      <c r="D22" t="n">
        <v>101.9921875</v>
      </c>
      <c r="E22">
        <f>IF(B22="","",(B22-$B$6)*100)</f>
        <v/>
      </c>
      <c r="F22">
        <f>IF(D22="","",-(D22-$D$6)/$G$2)</f>
        <v/>
      </c>
    </row>
    <row r="23">
      <c r="A23" t="inlineStr">
        <is>
          <t>09:30</t>
        </is>
      </c>
      <c r="B23" t="n">
        <v>5.047999858856201</v>
      </c>
      <c r="C23" t="n">
        <v>4.855999946594238</v>
      </c>
      <c r="D23" t="n">
        <v>102.0078125</v>
      </c>
    </row>
    <row r="24">
      <c r="A24" t="inlineStr">
        <is>
          <t>Prior close</t>
        </is>
      </c>
      <c r="B24" t="n">
        <v>5.190000057220459</v>
      </c>
      <c r="C24" t="n">
        <v>4.992000102996826</v>
      </c>
      <c r="D24" t="n">
        <v>101.8359375</v>
      </c>
    </row>
    <row r="25">
      <c r="A25" t="inlineStr">
        <is>
          <t>Pre-release drift 10Y bp</t>
        </is>
      </c>
      <c r="B25">
        <f>(B6-B24)*100</f>
        <v/>
      </c>
    </row>
    <row r="26">
      <c r="A26" t="inlineStr">
        <is>
          <t>Release window 10Y bp (08:29→09:15)</t>
        </is>
      </c>
      <c r="B26">
        <f>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Ticker</t>
        </is>
      </c>
      <c r="B1" s="1" t="inlineStr">
        <is>
          <t>Group</t>
        </is>
      </c>
      <c r="C1" s="1" t="inlineStr">
        <is>
          <t>Prior close</t>
        </is>
      </c>
      <c r="D1" s="1" t="inlineStr">
        <is>
          <t>08:29 ET</t>
        </is>
      </c>
      <c r="E1" s="1" t="inlineStr">
        <is>
          <t>Last</t>
        </is>
      </c>
      <c r="F1" s="1" t="inlineStr">
        <is>
          <t>vs prior %</t>
        </is>
      </c>
      <c r="G1" s="1" t="inlineStr">
        <is>
          <t>Since 08:29 %</t>
        </is>
      </c>
      <c r="H1" s="1" t="inlineStr">
        <is>
          <t>Pre-release share of move</t>
        </is>
      </c>
    </row>
    <row r="2">
      <c r="A2" t="inlineStr">
        <is>
          <t>NVDA</t>
        </is>
      </c>
      <c r="B2" t="inlineStr">
        <is>
          <t>AI</t>
        </is>
      </c>
      <c r="C2" t="n">
        <v>221.3000030517578</v>
      </c>
      <c r="D2" t="n">
        <v>217.75</v>
      </c>
      <c r="E2" t="n">
        <v>216.7097</v>
      </c>
      <c r="F2">
        <f>(E2/C2-1)*100</f>
        <v/>
      </c>
      <c r="G2">
        <f>IF(D2="","",(E2/D2-1)*100)</f>
        <v/>
      </c>
      <c r="H2">
        <f>IF(OR(D2="",F2=0),"",((D2/C2-1)*100)/F2)</f>
        <v/>
      </c>
    </row>
    <row r="3">
      <c r="A3" t="inlineStr">
        <is>
          <t>MU</t>
        </is>
      </c>
      <c r="B3" t="inlineStr">
        <is>
          <t>AI</t>
        </is>
      </c>
      <c r="C3" t="n">
        <v>914.1300048828125</v>
      </c>
      <c r="D3" t="n">
        <v>875.75</v>
      </c>
      <c r="E3" t="n">
        <v>923.018</v>
      </c>
      <c r="F3">
        <f>(E3/C3-1)*100</f>
        <v/>
      </c>
      <c r="G3">
        <f>IF(D3="","",(E3/D3-1)*100)</f>
        <v/>
      </c>
      <c r="H3">
        <f>IF(OR(D3="",F3=0),"",((D3/C3-1)*100)/F3)</f>
        <v/>
      </c>
    </row>
    <row r="4">
      <c r="A4" t="inlineStr">
        <is>
          <t>TSM</t>
        </is>
      </c>
      <c r="B4" t="inlineStr">
        <is>
          <t>AI</t>
        </is>
      </c>
      <c r="C4" t="n">
        <v>430</v>
      </c>
      <c r="D4" t="n">
        <v>419.76</v>
      </c>
      <c r="E4" t="n">
        <v>422.9</v>
      </c>
      <c r="F4">
        <f>(E4/C4-1)*100</f>
        <v/>
      </c>
      <c r="G4">
        <f>IF(D4="","",(E4/D4-1)*100)</f>
        <v/>
      </c>
      <c r="H4">
        <f>IF(OR(D4="",F4=0),"",((D4/C4-1)*100)/F4)</f>
        <v/>
      </c>
    </row>
    <row r="5">
      <c r="A5" t="inlineStr">
        <is>
          <t>AVGO</t>
        </is>
      </c>
      <c r="B5" t="inlineStr">
        <is>
          <t>AI</t>
        </is>
      </c>
      <c r="C5" t="n">
        <v>346.25</v>
      </c>
      <c r="D5" t="n">
        <v>341.19</v>
      </c>
      <c r="E5" t="n">
        <v>341.9</v>
      </c>
      <c r="F5">
        <f>(E5/C5-1)*100</f>
        <v/>
      </c>
      <c r="G5">
        <f>IF(D5="","",(E5/D5-1)*100)</f>
        <v/>
      </c>
      <c r="H5">
        <f>IF(OR(D5="",F5=0),"",((D5/C5-1)*100)/F5)</f>
        <v/>
      </c>
    </row>
    <row r="6">
      <c r="A6" t="inlineStr">
        <is>
          <t>ARM</t>
        </is>
      </c>
      <c r="B6" t="inlineStr">
        <is>
          <t>AI</t>
        </is>
      </c>
      <c r="C6" t="n">
        <v>238.0099945068359</v>
      </c>
      <c r="D6" t="n">
        <v>230.2</v>
      </c>
      <c r="E6" t="n">
        <v>242.8</v>
      </c>
      <c r="F6">
        <f>(E6/C6-1)*100</f>
        <v/>
      </c>
      <c r="G6">
        <f>IF(D6="","",(E6/D6-1)*100)</f>
        <v/>
      </c>
      <c r="H6">
        <f>IF(OR(D6="",F6=0),"",((D6/C6-1)*100)/F6)</f>
        <v/>
      </c>
    </row>
    <row r="7">
      <c r="A7" t="inlineStr">
        <is>
          <t>AMD</t>
        </is>
      </c>
      <c r="B7" t="inlineStr">
        <is>
          <t>AI</t>
        </is>
      </c>
      <c r="C7" t="n">
        <v>570.8200073242188</v>
      </c>
      <c r="D7" t="n">
        <v>553.89</v>
      </c>
      <c r="E7" t="n">
        <v>553.5</v>
      </c>
      <c r="F7">
        <f>(E7/C7-1)*100</f>
        <v/>
      </c>
      <c r="G7">
        <f>IF(D7="","",(E7/D7-1)*100)</f>
        <v/>
      </c>
      <c r="H7">
        <f>IF(OR(D7="",F7=0),"",((D7/C7-1)*100)/F7)</f>
        <v/>
      </c>
    </row>
    <row r="8">
      <c r="A8" t="inlineStr">
        <is>
          <t>MRVL</t>
        </is>
      </c>
      <c r="B8" t="inlineStr">
        <is>
          <t>AI</t>
        </is>
      </c>
      <c r="C8" t="n">
        <v>245.2799987792969</v>
      </c>
      <c r="D8" t="n">
        <v>235.3683</v>
      </c>
      <c r="E8" t="n">
        <v>238.6</v>
      </c>
      <c r="F8">
        <f>(E8/C8-1)*100</f>
        <v/>
      </c>
      <c r="G8">
        <f>IF(D8="","",(E8/D8-1)*100)</f>
        <v/>
      </c>
      <c r="H8">
        <f>IF(OR(D8="",F8=0),"",((D8/C8-1)*100)/F8)</f>
        <v/>
      </c>
    </row>
    <row r="9">
      <c r="A9" t="inlineStr">
        <is>
          <t>LITE</t>
        </is>
      </c>
      <c r="B9" t="inlineStr">
        <is>
          <t>AI</t>
        </is>
      </c>
      <c r="C9" t="n">
        <v>896.3300170898438</v>
      </c>
      <c r="D9" t="n">
        <v>857.25</v>
      </c>
      <c r="E9" t="n">
        <v>867</v>
      </c>
      <c r="F9">
        <f>(E9/C9-1)*100</f>
        <v/>
      </c>
      <c r="G9">
        <f>IF(D9="","",(E9/D9-1)*100)</f>
        <v/>
      </c>
      <c r="H9">
        <f>IF(OR(D9="",F9=0),"",((D9/C9-1)*100)/F9)</f>
        <v/>
      </c>
    </row>
    <row r="10">
      <c r="A10" t="inlineStr">
        <is>
          <t>CIEN</t>
        </is>
      </c>
      <c r="B10" t="inlineStr">
        <is>
          <t>AI</t>
        </is>
      </c>
      <c r="C10" t="n">
        <v>359.6000061035156</v>
      </c>
      <c r="D10" t="n">
        <v>343.3</v>
      </c>
      <c r="E10" t="n">
        <v>354.9</v>
      </c>
      <c r="F10">
        <f>(E10/C10-1)*100</f>
        <v/>
      </c>
      <c r="G10">
        <f>IF(D10="","",(E10/D10-1)*100)</f>
        <v/>
      </c>
      <c r="H10">
        <f>IF(OR(D10="",F10=0),"",((D10/C10-1)*100)/F10)</f>
        <v/>
      </c>
    </row>
    <row r="11">
      <c r="A11" t="inlineStr">
        <is>
          <t>COHR</t>
        </is>
      </c>
      <c r="B11" t="inlineStr">
        <is>
          <t>AI</t>
        </is>
      </c>
      <c r="C11" t="n">
        <v>263.3200073242188</v>
      </c>
      <c r="D11" t="n">
        <v>252.8</v>
      </c>
      <c r="E11" t="n">
        <v>250.61</v>
      </c>
      <c r="F11">
        <f>(E11/C11-1)*100</f>
        <v/>
      </c>
      <c r="G11">
        <f>IF(D11="","",(E11/D11-1)*100)</f>
        <v/>
      </c>
      <c r="H11">
        <f>IF(OR(D11="",F11=0),"",((D11/C11-1)*100)/F11)</f>
        <v/>
      </c>
    </row>
    <row r="12">
      <c r="A12" t="inlineStr">
        <is>
          <t>CRWV</t>
        </is>
      </c>
      <c r="B12" t="inlineStr">
        <is>
          <t>AI</t>
        </is>
      </c>
      <c r="C12" t="n">
        <v>65.77999877929688</v>
      </c>
      <c r="D12" t="n">
        <v>64.61</v>
      </c>
      <c r="E12" t="n">
        <v>68.10080000000001</v>
      </c>
      <c r="F12">
        <f>(E12/C12-1)*100</f>
        <v/>
      </c>
      <c r="G12">
        <f>IF(D12="","",(E12/D12-1)*100)</f>
        <v/>
      </c>
      <c r="H12">
        <f>IF(OR(D12="",F12=0),"",((D12/C12-1)*100)/F12)</f>
        <v/>
      </c>
    </row>
    <row r="13">
      <c r="A13" t="inlineStr">
        <is>
          <t>PLTR</t>
        </is>
      </c>
      <c r="B13" t="inlineStr">
        <is>
          <t>Rate</t>
        </is>
      </c>
      <c r="C13" t="n">
        <v>200.9700012207031</v>
      </c>
      <c r="D13" t="n">
        <v>195.7871</v>
      </c>
      <c r="E13" t="n">
        <v>199.6118</v>
      </c>
      <c r="F13">
        <f>(E13/C13-1)*100</f>
        <v/>
      </c>
      <c r="G13">
        <f>IF(D13="","",(E13/D13-1)*100)</f>
        <v/>
      </c>
      <c r="H13">
        <f>IF(OR(D13="",F13=0),"",((D13/C13-1)*100)/F13)</f>
        <v/>
      </c>
    </row>
    <row r="14">
      <c r="A14" t="inlineStr">
        <is>
          <t>RKLB</t>
        </is>
      </c>
      <c r="B14" t="inlineStr">
        <is>
          <t>Rate</t>
        </is>
      </c>
      <c r="C14" t="n">
        <v>59.18000030517578</v>
      </c>
      <c r="D14" t="n">
        <v>53.71</v>
      </c>
      <c r="E14" t="n">
        <v>55.12</v>
      </c>
      <c r="F14">
        <f>(E14/C14-1)*100</f>
        <v/>
      </c>
      <c r="G14">
        <f>IF(D14="","",(E14/D14-1)*100)</f>
        <v/>
      </c>
      <c r="H14">
        <f>IF(OR(D14="",F14=0),"",((D14/C14-1)*100)/F14)</f>
        <v/>
      </c>
    </row>
    <row r="15">
      <c r="A15" t="inlineStr">
        <is>
          <t>CRWD</t>
        </is>
      </c>
      <c r="B15" t="inlineStr">
        <is>
          <t>Rate</t>
        </is>
      </c>
      <c r="C15" t="n">
        <v>249.2899932861328</v>
      </c>
      <c r="D15" t="n">
        <v>243.04</v>
      </c>
      <c r="E15" t="n">
        <v>244.56</v>
      </c>
      <c r="F15">
        <f>(E15/C15-1)*100</f>
        <v/>
      </c>
      <c r="G15">
        <f>IF(D15="","",(E15/D15-1)*100)</f>
        <v/>
      </c>
      <c r="H15">
        <f>IF(OR(D15="",F15=0),"",((D15/C15-1)*100)/F15)</f>
        <v/>
      </c>
    </row>
    <row r="16">
      <c r="A16" t="inlineStr">
        <is>
          <t>AAPL</t>
        </is>
      </c>
      <c r="B16" t="inlineStr">
        <is>
          <t>Cons</t>
        </is>
      </c>
      <c r="C16" t="n">
        <v>342.9599914550781</v>
      </c>
      <c r="D16" t="n">
        <v>345.0503</v>
      </c>
      <c r="E16" t="n">
        <v>340.6719</v>
      </c>
      <c r="F16">
        <f>(E16/C16-1)*100</f>
        <v/>
      </c>
      <c r="G16">
        <f>IF(D16="","",(E16/D16-1)*100)</f>
        <v/>
      </c>
      <c r="H16">
        <f>IF(OR(D16="",F16=0),"",((D16/C16-1)*100)/F16)</f>
        <v/>
      </c>
    </row>
    <row r="17">
      <c r="A17" t="inlineStr">
        <is>
          <t>TSLA</t>
        </is>
      </c>
      <c r="B17" t="inlineStr">
        <is>
          <t>Cons</t>
        </is>
      </c>
      <c r="C17" t="n">
        <v>367.1600036621094</v>
      </c>
      <c r="D17" t="n">
        <v>362.19</v>
      </c>
      <c r="E17" t="n">
        <v>362.2744</v>
      </c>
      <c r="F17">
        <f>(E17/C17-1)*100</f>
        <v/>
      </c>
      <c r="G17">
        <f>IF(D17="","",(E17/D17-1)*100)</f>
        <v/>
      </c>
      <c r="H17">
        <f>IF(OR(D17="",F17=0),"",((D17/C17-1)*100)/F17)</f>
        <v/>
      </c>
    </row>
    <row r="18">
      <c r="A18" t="inlineStr">
        <is>
          <t>CCL</t>
        </is>
      </c>
      <c r="B18" t="inlineStr">
        <is>
          <t>Cons</t>
        </is>
      </c>
      <c r="C18" t="n">
        <v>25.96999931335449</v>
      </c>
      <c r="D18" t="n">
        <v>26.01</v>
      </c>
      <c r="E18" t="n">
        <v>26.38</v>
      </c>
      <c r="F18">
        <f>(E18/C18-1)*100</f>
        <v/>
      </c>
      <c r="G18">
        <f>IF(D18="","",(E18/D18-1)*100)</f>
        <v/>
      </c>
      <c r="H18">
        <f>IF(OR(D18="",F18=0),"",((D18/C18-1)*100)/F18)</f>
        <v/>
      </c>
    </row>
    <row r="19">
      <c r="A19" t="inlineStr">
        <is>
          <t>AMZN</t>
        </is>
      </c>
      <c r="B19" t="inlineStr">
        <is>
          <t>Cons</t>
        </is>
      </c>
      <c r="C19" t="n">
        <v>254.0800018310547</v>
      </c>
      <c r="D19" t="n">
        <v>250.2</v>
      </c>
      <c r="E19" t="n">
        <v>253.2501</v>
      </c>
      <c r="F19">
        <f>(E19/C19-1)*100</f>
        <v/>
      </c>
      <c r="G19">
        <f>IF(D19="","",(E19/D19-1)*100)</f>
        <v/>
      </c>
      <c r="H19">
        <f>IF(OR(D19="",F19=0),"",((D19/C19-1)*100)/F19)</f>
        <v/>
      </c>
    </row>
    <row r="20">
      <c r="A20" t="inlineStr">
        <is>
          <t>WMT</t>
        </is>
      </c>
      <c r="B20" t="inlineStr">
        <is>
          <t>Cons</t>
        </is>
      </c>
      <c r="C20" t="n">
        <v>116.1600036621094</v>
      </c>
      <c r="D20" t="n">
        <v>119.3725</v>
      </c>
      <c r="E20" t="n">
        <v>118.1</v>
      </c>
      <c r="F20">
        <f>(E20/C20-1)*100</f>
        <v/>
      </c>
      <c r="G20">
        <f>IF(D20="","",(E20/D20-1)*100)</f>
        <v/>
      </c>
      <c r="H20">
        <f>IF(OR(D20="",F20=0),"",((D20/C20-1)*100)/F20)</f>
        <v/>
      </c>
    </row>
    <row r="21">
      <c r="A21" t="inlineStr">
        <is>
          <t>COST</t>
        </is>
      </c>
      <c r="B21" t="inlineStr">
        <is>
          <t>Cons</t>
        </is>
      </c>
      <c r="C21" t="n">
        <v>982</v>
      </c>
      <c r="D21" t="n">
        <v>994.5886</v>
      </c>
      <c r="E21" t="n">
        <v>978.0599999999999</v>
      </c>
      <c r="F21">
        <f>(E21/C21-1)*100</f>
        <v/>
      </c>
      <c r="G21">
        <f>IF(D21="","",(E21/D21-1)*100)</f>
        <v/>
      </c>
      <c r="H21">
        <f>IF(OR(D21="",F21=0),"",((D21/C21-1)*100)/F21)</f>
        <v/>
      </c>
    </row>
    <row r="22">
      <c r="A22" t="inlineStr">
        <is>
          <t>HD</t>
        </is>
      </c>
      <c r="B22" t="inlineStr">
        <is>
          <t>Cons</t>
        </is>
      </c>
      <c r="C22" t="n">
        <v>295.510009765625</v>
      </c>
      <c r="D22" t="n">
        <v>300.6</v>
      </c>
      <c r="E22" t="n">
        <v>308.626</v>
      </c>
      <c r="F22">
        <f>(E22/C22-1)*100</f>
        <v/>
      </c>
      <c r="G22">
        <f>IF(D22="","",(E22/D22-1)*100)</f>
        <v/>
      </c>
      <c r="H22">
        <f>IF(OR(D22="",F22=0),"",((D22/C22-1)*100)/F22)</f>
        <v/>
      </c>
    </row>
    <row r="23">
      <c r="A23" t="inlineStr">
        <is>
          <t>TGT</t>
        </is>
      </c>
      <c r="B23" t="inlineStr">
        <is>
          <t>Cons</t>
        </is>
      </c>
      <c r="C23" t="n">
        <v>155.3099975585938</v>
      </c>
      <c r="D23" t="n">
        <v>157.38</v>
      </c>
      <c r="E23" t="n">
        <v>156.63</v>
      </c>
      <c r="F23">
        <f>(E23/C23-1)*100</f>
        <v/>
      </c>
      <c r="G23">
        <f>IF(D23="","",(E23/D23-1)*100)</f>
        <v/>
      </c>
      <c r="H23">
        <f>IF(OR(D23="",F23=0),"",((D23/C23-1)*100)/F23)</f>
        <v/>
      </c>
    </row>
    <row r="24">
      <c r="A24" t="inlineStr">
        <is>
          <t>XRT</t>
        </is>
      </c>
      <c r="B24" t="inlineStr">
        <is>
          <t>Cons</t>
        </is>
      </c>
      <c r="C24" t="n">
        <v>84.69999694824219</v>
      </c>
      <c r="D24" t="n">
        <v>84.81999999999999</v>
      </c>
      <c r="E24" t="n">
        <v>87.81999999999999</v>
      </c>
      <c r="F24">
        <f>(E24/C24-1)*100</f>
        <v/>
      </c>
      <c r="G24">
        <f>IF(D24="","",(E24/D24-1)*100)</f>
        <v/>
      </c>
      <c r="H24">
        <f>IF(OR(D24="",F24=0),"",((D24/C24-1)*100)/F24)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Time ET</t>
        </is>
      </c>
      <c r="B1" s="1" t="inlineStr">
        <is>
          <t>Oct hike last</t>
        </is>
      </c>
      <c r="C1" s="1" t="inlineStr">
        <is>
          <t>Oct hike mid</t>
        </is>
      </c>
      <c r="E1" t="inlineStr">
        <is>
          <t>Prior-day ref</t>
        </is>
      </c>
      <c r="F1" t="n">
        <v>0.3</v>
      </c>
    </row>
    <row r="2">
      <c r="A2" t="inlineStr">
        <is>
          <t>06:05</t>
        </is>
      </c>
      <c r="C2" t="n">
        <v>0.235</v>
      </c>
      <c r="E2" t="inlineStr">
        <is>
          <t>Max last 08:30–09:15 ET</t>
        </is>
      </c>
      <c r="F2">
        <f>MAX(B56:B92)</f>
        <v/>
      </c>
    </row>
    <row r="3">
      <c r="A3" t="inlineStr">
        <is>
          <t>06:06</t>
        </is>
      </c>
      <c r="B3" t="n">
        <v>0.23</v>
      </c>
      <c r="C3" t="n">
        <v>0.235</v>
      </c>
    </row>
    <row r="4">
      <c r="A4" t="inlineStr">
        <is>
          <t>06:07</t>
        </is>
      </c>
      <c r="C4" t="n">
        <v>0.235</v>
      </c>
    </row>
    <row r="5">
      <c r="A5" t="inlineStr">
        <is>
          <t>06:08</t>
        </is>
      </c>
      <c r="C5" t="n">
        <v>0.235</v>
      </c>
    </row>
    <row r="6">
      <c r="A6" t="inlineStr">
        <is>
          <t>06:10</t>
        </is>
      </c>
      <c r="C6" t="n">
        <v>0.235</v>
      </c>
    </row>
    <row r="7">
      <c r="A7" t="inlineStr">
        <is>
          <t>06:14</t>
        </is>
      </c>
      <c r="B7" t="n">
        <v>0.24</v>
      </c>
      <c r="C7" t="n">
        <v>0.235</v>
      </c>
    </row>
    <row r="8">
      <c r="A8" t="inlineStr">
        <is>
          <t>06:18</t>
        </is>
      </c>
      <c r="B8" t="n">
        <v>0.24</v>
      </c>
      <c r="C8" t="n">
        <v>0.235</v>
      </c>
    </row>
    <row r="9">
      <c r="A9" t="inlineStr">
        <is>
          <t>06:32</t>
        </is>
      </c>
      <c r="C9" t="n">
        <v>0.235</v>
      </c>
    </row>
    <row r="10">
      <c r="A10" t="inlineStr">
        <is>
          <t>06:39</t>
        </is>
      </c>
      <c r="C10" t="n">
        <v>0.235</v>
      </c>
    </row>
    <row r="11">
      <c r="A11" t="inlineStr">
        <is>
          <t>06:40</t>
        </is>
      </c>
      <c r="C11" t="n">
        <v>0.235</v>
      </c>
    </row>
    <row r="12">
      <c r="A12" t="inlineStr">
        <is>
          <t>06:41</t>
        </is>
      </c>
      <c r="C12" t="n">
        <v>0.235</v>
      </c>
    </row>
    <row r="13">
      <c r="A13" t="inlineStr">
        <is>
          <t>06:42</t>
        </is>
      </c>
      <c r="B13" t="n">
        <v>0.24</v>
      </c>
      <c r="C13" t="n">
        <v>0.255</v>
      </c>
    </row>
    <row r="14">
      <c r="A14" t="inlineStr">
        <is>
          <t>06:43</t>
        </is>
      </c>
      <c r="C14" t="n">
        <v>0.255</v>
      </c>
    </row>
    <row r="15">
      <c r="A15" t="inlineStr">
        <is>
          <t>06:44</t>
        </is>
      </c>
      <c r="B15" t="n">
        <v>0.24</v>
      </c>
      <c r="C15" t="n">
        <v>0.26</v>
      </c>
    </row>
    <row r="16">
      <c r="A16" t="inlineStr">
        <is>
          <t>06:46</t>
        </is>
      </c>
      <c r="C16" t="n">
        <v>0.26</v>
      </c>
    </row>
    <row r="17">
      <c r="A17" t="inlineStr">
        <is>
          <t>06:47</t>
        </is>
      </c>
      <c r="C17" t="n">
        <v>0.26</v>
      </c>
    </row>
    <row r="18">
      <c r="A18" t="inlineStr">
        <is>
          <t>06:48</t>
        </is>
      </c>
      <c r="B18" t="n">
        <v>0.27</v>
      </c>
      <c r="C18" t="n">
        <v>0.26</v>
      </c>
    </row>
    <row r="19">
      <c r="A19" t="inlineStr">
        <is>
          <t>06:49</t>
        </is>
      </c>
      <c r="C19" t="n">
        <v>0.26</v>
      </c>
    </row>
    <row r="20">
      <c r="A20" t="inlineStr">
        <is>
          <t>06:52</t>
        </is>
      </c>
      <c r="C20" t="n">
        <v>0.26</v>
      </c>
    </row>
    <row r="21">
      <c r="A21" t="inlineStr">
        <is>
          <t>06:54</t>
        </is>
      </c>
      <c r="C21" t="n">
        <v>0.26</v>
      </c>
    </row>
    <row r="22">
      <c r="A22" t="inlineStr">
        <is>
          <t>06:55</t>
        </is>
      </c>
      <c r="C22" t="n">
        <v>0.26</v>
      </c>
    </row>
    <row r="23">
      <c r="A23" t="inlineStr">
        <is>
          <t>06:57</t>
        </is>
      </c>
      <c r="C23" t="n">
        <v>0.265</v>
      </c>
    </row>
    <row r="24">
      <c r="A24" t="inlineStr">
        <is>
          <t>07:00</t>
        </is>
      </c>
      <c r="C24" t="n">
        <v>0.265</v>
      </c>
    </row>
    <row r="25">
      <c r="A25" t="inlineStr">
        <is>
          <t>07:03</t>
        </is>
      </c>
      <c r="C25" t="n">
        <v>0.265</v>
      </c>
    </row>
    <row r="26">
      <c r="A26" t="inlineStr">
        <is>
          <t>07:08</t>
        </is>
      </c>
      <c r="C26" t="n">
        <v>0.265</v>
      </c>
    </row>
    <row r="27">
      <c r="A27" t="inlineStr">
        <is>
          <t>07:12</t>
        </is>
      </c>
      <c r="C27" t="n">
        <v>0.265</v>
      </c>
    </row>
    <row r="28">
      <c r="A28" t="inlineStr">
        <is>
          <t>07:15</t>
        </is>
      </c>
      <c r="C28" t="n">
        <v>0.265</v>
      </c>
    </row>
    <row r="29">
      <c r="A29" t="inlineStr">
        <is>
          <t>07:17</t>
        </is>
      </c>
      <c r="C29" t="n">
        <v>0.265</v>
      </c>
    </row>
    <row r="30">
      <c r="A30" t="inlineStr">
        <is>
          <t>07:20</t>
        </is>
      </c>
      <c r="C30" t="n">
        <v>0.265</v>
      </c>
    </row>
    <row r="31">
      <c r="A31" t="inlineStr">
        <is>
          <t>07:25</t>
        </is>
      </c>
      <c r="C31" t="n">
        <v>0.265</v>
      </c>
    </row>
    <row r="32">
      <c r="A32" t="inlineStr">
        <is>
          <t>07:26</t>
        </is>
      </c>
      <c r="B32" t="n">
        <v>0.28</v>
      </c>
      <c r="C32" t="n">
        <v>0.27</v>
      </c>
    </row>
    <row r="33">
      <c r="A33" t="inlineStr">
        <is>
          <t>07:35</t>
        </is>
      </c>
      <c r="B33" t="n">
        <v>0.25</v>
      </c>
      <c r="C33" t="n">
        <v>0.265</v>
      </c>
    </row>
    <row r="34">
      <c r="A34" t="inlineStr">
        <is>
          <t>07:36</t>
        </is>
      </c>
      <c r="C34" t="n">
        <v>0.265</v>
      </c>
    </row>
    <row r="35">
      <c r="A35" t="inlineStr">
        <is>
          <t>07:37</t>
        </is>
      </c>
      <c r="C35" t="n">
        <v>0.265</v>
      </c>
    </row>
    <row r="36">
      <c r="A36" t="inlineStr">
        <is>
          <t>07:38</t>
        </is>
      </c>
      <c r="C36" t="n">
        <v>0.265</v>
      </c>
    </row>
    <row r="37">
      <c r="A37" t="inlineStr">
        <is>
          <t>07:39</t>
        </is>
      </c>
      <c r="C37" t="n">
        <v>0.265</v>
      </c>
    </row>
    <row r="38">
      <c r="A38" t="inlineStr">
        <is>
          <t>07:42</t>
        </is>
      </c>
      <c r="C38" t="n">
        <v>0.27</v>
      </c>
    </row>
    <row r="39">
      <c r="A39" t="inlineStr">
        <is>
          <t>07:44</t>
        </is>
      </c>
      <c r="C39" t="n">
        <v>0.27</v>
      </c>
    </row>
    <row r="40">
      <c r="A40" t="inlineStr">
        <is>
          <t>07:45</t>
        </is>
      </c>
      <c r="C40" t="n">
        <v>0.27</v>
      </c>
    </row>
    <row r="41">
      <c r="A41" t="inlineStr">
        <is>
          <t>07:58</t>
        </is>
      </c>
      <c r="B41" t="n">
        <v>0.28</v>
      </c>
      <c r="C41" t="n">
        <v>0.27</v>
      </c>
    </row>
    <row r="42">
      <c r="A42" t="inlineStr">
        <is>
          <t>07:59</t>
        </is>
      </c>
      <c r="B42" t="n">
        <v>0.28</v>
      </c>
      <c r="C42" t="n">
        <v>0.27</v>
      </c>
    </row>
    <row r="43">
      <c r="A43" t="inlineStr">
        <is>
          <t>08:00</t>
        </is>
      </c>
      <c r="C43" t="n">
        <v>0.27</v>
      </c>
    </row>
    <row r="44">
      <c r="A44" t="inlineStr">
        <is>
          <t>08:01</t>
        </is>
      </c>
      <c r="B44" t="n">
        <v>0.28</v>
      </c>
      <c r="C44" t="n">
        <v>0.27</v>
      </c>
    </row>
    <row r="45">
      <c r="A45" t="inlineStr">
        <is>
          <t>08:02</t>
        </is>
      </c>
      <c r="B45" t="n">
        <v>0.28</v>
      </c>
      <c r="C45" t="n">
        <v>0.27</v>
      </c>
    </row>
    <row r="46">
      <c r="A46" t="inlineStr">
        <is>
          <t>08:03</t>
        </is>
      </c>
      <c r="B46" t="n">
        <v>0.28</v>
      </c>
      <c r="C46" t="n">
        <v>0.27</v>
      </c>
    </row>
    <row r="47">
      <c r="A47" t="inlineStr">
        <is>
          <t>08:06</t>
        </is>
      </c>
      <c r="C47" t="n">
        <v>0.27</v>
      </c>
    </row>
    <row r="48">
      <c r="A48" t="inlineStr">
        <is>
          <t>08:10</t>
        </is>
      </c>
      <c r="B48" t="n">
        <v>0.28</v>
      </c>
      <c r="C48" t="n">
        <v>0.275</v>
      </c>
    </row>
    <row r="49">
      <c r="A49" t="inlineStr">
        <is>
          <t>08:11</t>
        </is>
      </c>
      <c r="B49" t="n">
        <v>0.28</v>
      </c>
      <c r="C49" t="n">
        <v>0.275</v>
      </c>
    </row>
    <row r="50">
      <c r="A50" t="inlineStr">
        <is>
          <t>08:12</t>
        </is>
      </c>
      <c r="B50" t="n">
        <v>0.28</v>
      </c>
      <c r="C50" t="n">
        <v>0.275</v>
      </c>
    </row>
    <row r="51">
      <c r="A51" t="inlineStr">
        <is>
          <t>08:16</t>
        </is>
      </c>
      <c r="B51" t="n">
        <v>0.28</v>
      </c>
      <c r="C51" t="n">
        <v>0.275</v>
      </c>
    </row>
    <row r="52">
      <c r="A52" t="inlineStr">
        <is>
          <t>08:22</t>
        </is>
      </c>
      <c r="B52" t="n">
        <v>0.28</v>
      </c>
      <c r="C52" t="n">
        <v>0.275</v>
      </c>
    </row>
    <row r="53">
      <c r="A53" t="inlineStr">
        <is>
          <t>08:24</t>
        </is>
      </c>
      <c r="B53" t="n">
        <v>0.28</v>
      </c>
      <c r="C53" t="n">
        <v>0.275</v>
      </c>
    </row>
    <row r="54">
      <c r="A54" t="inlineStr">
        <is>
          <t>08:25</t>
        </is>
      </c>
      <c r="C54" t="n">
        <v>0.275</v>
      </c>
    </row>
    <row r="55">
      <c r="A55" t="inlineStr">
        <is>
          <t>08:29</t>
        </is>
      </c>
      <c r="B55" t="n">
        <v>0.28</v>
      </c>
      <c r="C55" t="n">
        <v>0.275</v>
      </c>
    </row>
    <row r="56">
      <c r="A56" t="inlineStr">
        <is>
          <t>08:31</t>
        </is>
      </c>
      <c r="B56" t="n">
        <v>0.36</v>
      </c>
      <c r="C56" t="n">
        <v>0.34</v>
      </c>
    </row>
    <row r="57">
      <c r="A57" t="inlineStr">
        <is>
          <t>08:32</t>
        </is>
      </c>
      <c r="B57" t="n">
        <v>0.31</v>
      </c>
      <c r="C57" t="n">
        <v>0.325</v>
      </c>
    </row>
    <row r="58">
      <c r="A58" t="inlineStr">
        <is>
          <t>08:33</t>
        </is>
      </c>
      <c r="B58" t="n">
        <v>0.36</v>
      </c>
      <c r="C58" t="n">
        <v>0.34</v>
      </c>
    </row>
    <row r="59">
      <c r="A59" t="inlineStr">
        <is>
          <t>08:34</t>
        </is>
      </c>
      <c r="B59" t="n">
        <v>0.34</v>
      </c>
      <c r="C59" t="n">
        <v>0.32</v>
      </c>
    </row>
    <row r="60">
      <c r="A60" t="inlineStr">
        <is>
          <t>08:35</t>
        </is>
      </c>
      <c r="B60" t="n">
        <v>0.34</v>
      </c>
      <c r="C60" t="n">
        <v>0.325</v>
      </c>
    </row>
    <row r="61">
      <c r="A61" t="inlineStr">
        <is>
          <t>08:36</t>
        </is>
      </c>
      <c r="B61" t="n">
        <v>0.35</v>
      </c>
      <c r="C61" t="n">
        <v>0.34</v>
      </c>
    </row>
    <row r="62">
      <c r="A62" t="inlineStr">
        <is>
          <t>08:37</t>
        </is>
      </c>
      <c r="B62" t="n">
        <v>0.33</v>
      </c>
      <c r="C62" t="n">
        <v>0.315</v>
      </c>
    </row>
    <row r="63">
      <c r="A63" t="inlineStr">
        <is>
          <t>08:38</t>
        </is>
      </c>
      <c r="B63" t="n">
        <v>0.3</v>
      </c>
      <c r="C63" t="n">
        <v>0.295</v>
      </c>
    </row>
    <row r="64">
      <c r="A64" t="inlineStr">
        <is>
          <t>08:39</t>
        </is>
      </c>
      <c r="B64" t="n">
        <v>0.28</v>
      </c>
      <c r="C64" t="n">
        <v>0.29</v>
      </c>
    </row>
    <row r="65">
      <c r="A65" t="inlineStr">
        <is>
          <t>08:40</t>
        </is>
      </c>
      <c r="B65" t="n">
        <v>0.29</v>
      </c>
      <c r="C65" t="n">
        <v>0.29</v>
      </c>
    </row>
    <row r="66">
      <c r="A66" t="inlineStr">
        <is>
          <t>08:41</t>
        </is>
      </c>
      <c r="B66" t="n">
        <v>0.27</v>
      </c>
      <c r="C66" t="n">
        <v>0.28</v>
      </c>
    </row>
    <row r="67">
      <c r="A67" t="inlineStr">
        <is>
          <t>08:42</t>
        </is>
      </c>
      <c r="C67" t="n">
        <v>0.28</v>
      </c>
    </row>
    <row r="68">
      <c r="A68" t="inlineStr">
        <is>
          <t>08:43</t>
        </is>
      </c>
      <c r="C68" t="n">
        <v>0.275</v>
      </c>
    </row>
    <row r="69">
      <c r="A69" t="inlineStr">
        <is>
          <t>08:44</t>
        </is>
      </c>
      <c r="B69" t="n">
        <v>0.28</v>
      </c>
      <c r="C69" t="n">
        <v>0.275</v>
      </c>
    </row>
    <row r="70">
      <c r="A70" t="inlineStr">
        <is>
          <t>08:45</t>
        </is>
      </c>
      <c r="B70" t="n">
        <v>0.28</v>
      </c>
      <c r="C70" t="n">
        <v>0.275</v>
      </c>
    </row>
    <row r="71">
      <c r="A71" t="inlineStr">
        <is>
          <t>08:47</t>
        </is>
      </c>
      <c r="B71" t="n">
        <v>0.27</v>
      </c>
      <c r="C71" t="n">
        <v>0.275</v>
      </c>
    </row>
    <row r="72">
      <c r="A72" t="inlineStr">
        <is>
          <t>08:48</t>
        </is>
      </c>
      <c r="B72" t="n">
        <v>0.28</v>
      </c>
      <c r="C72" t="n">
        <v>0.285</v>
      </c>
    </row>
    <row r="73">
      <c r="A73" t="inlineStr">
        <is>
          <t>08:49</t>
        </is>
      </c>
      <c r="B73" t="n">
        <v>0.29</v>
      </c>
      <c r="C73" t="n">
        <v>0.285</v>
      </c>
    </row>
    <row r="74">
      <c r="A74" t="inlineStr">
        <is>
          <t>08:50</t>
        </is>
      </c>
      <c r="B74" t="n">
        <v>0.29</v>
      </c>
      <c r="C74" t="n">
        <v>0.295</v>
      </c>
    </row>
    <row r="75">
      <c r="A75" t="inlineStr">
        <is>
          <t>08:51</t>
        </is>
      </c>
      <c r="C75" t="n">
        <v>0.295</v>
      </c>
    </row>
    <row r="76">
      <c r="A76" t="inlineStr">
        <is>
          <t>08:52</t>
        </is>
      </c>
      <c r="B76" t="n">
        <v>0.3</v>
      </c>
      <c r="C76" t="n">
        <v>0.295</v>
      </c>
    </row>
    <row r="77">
      <c r="A77" t="inlineStr">
        <is>
          <t>08:53</t>
        </is>
      </c>
      <c r="C77" t="n">
        <v>0.295</v>
      </c>
    </row>
    <row r="78">
      <c r="A78" t="inlineStr">
        <is>
          <t>08:54</t>
        </is>
      </c>
      <c r="C78" t="n">
        <v>0.295</v>
      </c>
    </row>
    <row r="79">
      <c r="A79" t="inlineStr">
        <is>
          <t>08:55</t>
        </is>
      </c>
      <c r="C79" t="n">
        <v>0.295</v>
      </c>
    </row>
    <row r="80">
      <c r="A80" t="inlineStr">
        <is>
          <t>08:57</t>
        </is>
      </c>
      <c r="C80" t="n">
        <v>0.295</v>
      </c>
    </row>
    <row r="81">
      <c r="A81" t="inlineStr">
        <is>
          <t>09:00</t>
        </is>
      </c>
      <c r="C81" t="n">
        <v>0.295</v>
      </c>
    </row>
    <row r="82">
      <c r="A82" t="inlineStr">
        <is>
          <t>09:02</t>
        </is>
      </c>
      <c r="B82" t="n">
        <v>0.29</v>
      </c>
      <c r="C82" t="n">
        <v>0.275</v>
      </c>
    </row>
    <row r="83">
      <c r="A83" t="inlineStr">
        <is>
          <t>09:03</t>
        </is>
      </c>
      <c r="B83" t="n">
        <v>0.28</v>
      </c>
      <c r="C83" t="n">
        <v>0.275</v>
      </c>
    </row>
    <row r="84">
      <c r="A84" t="inlineStr">
        <is>
          <t>09:04</t>
        </is>
      </c>
      <c r="B84" t="n">
        <v>0.28</v>
      </c>
      <c r="C84" t="n">
        <v>0.275</v>
      </c>
    </row>
    <row r="85">
      <c r="A85" t="inlineStr">
        <is>
          <t>09:05</t>
        </is>
      </c>
      <c r="C85" t="n">
        <v>0.275</v>
      </c>
    </row>
    <row r="86">
      <c r="A86" t="inlineStr">
        <is>
          <t>09:06</t>
        </is>
      </c>
      <c r="B86" t="n">
        <v>0.28</v>
      </c>
      <c r="C86" t="n">
        <v>0.275</v>
      </c>
    </row>
    <row r="87">
      <c r="A87" t="inlineStr">
        <is>
          <t>09:07</t>
        </is>
      </c>
      <c r="B87" t="n">
        <v>0.28</v>
      </c>
      <c r="C87" t="n">
        <v>0.275</v>
      </c>
    </row>
    <row r="88">
      <c r="A88" t="inlineStr">
        <is>
          <t>09:09</t>
        </is>
      </c>
      <c r="C88" t="n">
        <v>0.275</v>
      </c>
    </row>
    <row r="89">
      <c r="A89" t="inlineStr">
        <is>
          <t>09:11</t>
        </is>
      </c>
      <c r="B89" t="n">
        <v>0.28</v>
      </c>
      <c r="C89" t="n">
        <v>0.275</v>
      </c>
    </row>
    <row r="90">
      <c r="A90" t="inlineStr">
        <is>
          <t>09:13</t>
        </is>
      </c>
      <c r="C90" t="n">
        <v>0.275</v>
      </c>
    </row>
    <row r="91">
      <c r="A91" t="inlineStr">
        <is>
          <t>09:14</t>
        </is>
      </c>
      <c r="B91" t="n">
        <v>0.27</v>
      </c>
      <c r="C91" t="n">
        <v>0.275</v>
      </c>
    </row>
    <row r="92">
      <c r="A92" t="inlineStr">
        <is>
          <t>09:15</t>
        </is>
      </c>
      <c r="B92" t="n">
        <v>0.28</v>
      </c>
      <c r="C92" t="n">
        <v>0.275</v>
      </c>
    </row>
    <row r="93">
      <c r="A93" t="inlineStr">
        <is>
          <t>09:16</t>
        </is>
      </c>
      <c r="B93" t="n">
        <v>0.26</v>
      </c>
      <c r="C93" t="n">
        <v>0.265</v>
      </c>
    </row>
    <row r="94">
      <c r="A94" t="inlineStr">
        <is>
          <t>09:17</t>
        </is>
      </c>
      <c r="B94" t="n">
        <v>0.28</v>
      </c>
      <c r="C94" t="n">
        <v>0.275</v>
      </c>
    </row>
    <row r="95">
      <c r="A95" t="inlineStr">
        <is>
          <t>09:18</t>
        </is>
      </c>
      <c r="C95" t="n">
        <v>0.275</v>
      </c>
    </row>
    <row r="96">
      <c r="A96" t="inlineStr">
        <is>
          <t>09:19</t>
        </is>
      </c>
      <c r="B96" t="n">
        <v>0.28</v>
      </c>
      <c r="C96" t="n">
        <v>0.275</v>
      </c>
    </row>
    <row r="97">
      <c r="A97" t="inlineStr">
        <is>
          <t>09:20</t>
        </is>
      </c>
      <c r="B97" t="n">
        <v>0.27</v>
      </c>
      <c r="C97" t="n">
        <v>0.275</v>
      </c>
    </row>
    <row r="98">
      <c r="A98" t="inlineStr">
        <is>
          <t>09:21</t>
        </is>
      </c>
      <c r="B98" t="n">
        <v>0.28</v>
      </c>
      <c r="C98" t="n">
        <v>0.28</v>
      </c>
    </row>
    <row r="99">
      <c r="A99" t="inlineStr">
        <is>
          <t>09:22</t>
        </is>
      </c>
      <c r="B99" t="n">
        <v>0.28</v>
      </c>
      <c r="C99" t="n">
        <v>0.285</v>
      </c>
    </row>
    <row r="100">
      <c r="A100" t="inlineStr">
        <is>
          <t>09:23</t>
        </is>
      </c>
      <c r="B100" t="n">
        <v>0.28</v>
      </c>
      <c r="C100" t="n">
        <v>0.285</v>
      </c>
    </row>
    <row r="101">
      <c r="A101" t="inlineStr">
        <is>
          <t>09:24</t>
        </is>
      </c>
      <c r="B101" t="n">
        <v>0.29</v>
      </c>
      <c r="C101" t="n">
        <v>0.285</v>
      </c>
    </row>
    <row r="102">
      <c r="A102" t="inlineStr">
        <is>
          <t>09:25</t>
        </is>
      </c>
      <c r="C102" t="n">
        <v>0.285</v>
      </c>
    </row>
    <row r="103">
      <c r="A103" t="inlineStr">
        <is>
          <t>09:26</t>
        </is>
      </c>
      <c r="C103" t="n">
        <v>0.285</v>
      </c>
    </row>
    <row r="104">
      <c r="A104" t="inlineStr">
        <is>
          <t>09:27</t>
        </is>
      </c>
      <c r="B104" t="n">
        <v>0.29</v>
      </c>
      <c r="C104" t="n">
        <v>0.285</v>
      </c>
    </row>
    <row r="105">
      <c r="A105" t="inlineStr">
        <is>
          <t>09:28</t>
        </is>
      </c>
      <c r="C105" t="n">
        <v>0.285</v>
      </c>
    </row>
    <row r="106">
      <c r="A106" t="inlineStr">
        <is>
          <t>09:29</t>
        </is>
      </c>
      <c r="B106" t="n">
        <v>0.28</v>
      </c>
      <c r="C106" t="n">
        <v>0.285</v>
      </c>
    </row>
    <row r="107">
      <c r="A107" t="inlineStr">
        <is>
          <t>09:30</t>
        </is>
      </c>
      <c r="C107" t="n">
        <v>0.285</v>
      </c>
    </row>
    <row r="108">
      <c r="A108" t="inlineStr">
        <is>
          <t>09:31</t>
        </is>
      </c>
      <c r="C108" t="n">
        <v>0.285</v>
      </c>
    </row>
    <row r="109">
      <c r="A109" t="inlineStr">
        <is>
          <t>09:32</t>
        </is>
      </c>
      <c r="C109" t="n">
        <v>0.285</v>
      </c>
    </row>
    <row r="110">
      <c r="A110" t="inlineStr">
        <is>
          <t>09:35</t>
        </is>
      </c>
      <c r="B110" t="n">
        <v>0.27</v>
      </c>
      <c r="C110" t="n">
        <v>0.265</v>
      </c>
    </row>
    <row r="111">
      <c r="A111" t="inlineStr">
        <is>
          <t>09:36</t>
        </is>
      </c>
      <c r="B111" t="n">
        <v>0.27</v>
      </c>
      <c r="C111" t="n">
        <v>0.265</v>
      </c>
    </row>
    <row r="112">
      <c r="A112" t="inlineStr">
        <is>
          <t>09:37</t>
        </is>
      </c>
      <c r="C112" t="n">
        <v>0.265</v>
      </c>
    </row>
    <row r="113">
      <c r="A113" t="inlineStr">
        <is>
          <t>09:38</t>
        </is>
      </c>
      <c r="C113" t="n">
        <v>0.265</v>
      </c>
    </row>
    <row r="114">
      <c r="A114" t="inlineStr">
        <is>
          <t>09:39</t>
        </is>
      </c>
      <c r="B114" t="n">
        <v>0.28</v>
      </c>
      <c r="C114" t="n">
        <v>0.275</v>
      </c>
    </row>
    <row r="115">
      <c r="A115" t="inlineStr">
        <is>
          <t>09:40</t>
        </is>
      </c>
      <c r="C115" t="n">
        <v>0.275</v>
      </c>
    </row>
    <row r="116">
      <c r="A116" t="inlineStr">
        <is>
          <t>09:41</t>
        </is>
      </c>
      <c r="C116" t="n">
        <v>0.275</v>
      </c>
    </row>
    <row r="117">
      <c r="A117" t="inlineStr">
        <is>
          <t>09:42</t>
        </is>
      </c>
      <c r="B117" t="n">
        <v>0.27</v>
      </c>
      <c r="C117" t="n">
        <v>0.275</v>
      </c>
    </row>
    <row r="118">
      <c r="A118" t="inlineStr">
        <is>
          <t>09:43</t>
        </is>
      </c>
      <c r="B118" t="n">
        <v>0.27</v>
      </c>
      <c r="C118" t="n">
        <v>0.275</v>
      </c>
    </row>
    <row r="119">
      <c r="A119" t="inlineStr">
        <is>
          <t>09:44</t>
        </is>
      </c>
      <c r="C119" t="n">
        <v>0.275</v>
      </c>
    </row>
    <row r="120">
      <c r="A120" t="inlineStr">
        <is>
          <t>09:45</t>
        </is>
      </c>
      <c r="B120" t="n">
        <v>0.28</v>
      </c>
      <c r="C120" t="n">
        <v>0.275</v>
      </c>
    </row>
    <row r="121">
      <c r="A121" t="inlineStr">
        <is>
          <t>09:46</t>
        </is>
      </c>
      <c r="C121" t="n">
        <v>0.275</v>
      </c>
    </row>
    <row r="122">
      <c r="A122" t="inlineStr">
        <is>
          <t>09:47</t>
        </is>
      </c>
      <c r="C122" t="n">
        <v>0.275</v>
      </c>
    </row>
    <row r="123">
      <c r="A123" t="inlineStr">
        <is>
          <t>09:48</t>
        </is>
      </c>
      <c r="B123" t="n">
        <v>0.27</v>
      </c>
      <c r="C123" t="n">
        <v>0.275</v>
      </c>
    </row>
    <row r="124">
      <c r="A124" t="inlineStr">
        <is>
          <t>09:49</t>
        </is>
      </c>
      <c r="C124" t="n">
        <v>0.275</v>
      </c>
    </row>
    <row r="125">
      <c r="A125" t="inlineStr">
        <is>
          <t>09:56</t>
        </is>
      </c>
      <c r="C125" t="n">
        <v>0.275</v>
      </c>
    </row>
    <row r="126">
      <c r="A126" t="inlineStr">
        <is>
          <t>09:57</t>
        </is>
      </c>
      <c r="B126" t="n">
        <v>0.27</v>
      </c>
      <c r="C126" t="n">
        <v>0.265</v>
      </c>
    </row>
    <row r="127">
      <c r="A127" t="inlineStr">
        <is>
          <t>09:58</t>
        </is>
      </c>
      <c r="B127" t="n">
        <v>0.26</v>
      </c>
      <c r="C127" t="n">
        <v>0.27</v>
      </c>
    </row>
    <row r="128">
      <c r="A128" t="inlineStr">
        <is>
          <t>09:59</t>
        </is>
      </c>
      <c r="C128" t="n">
        <v>0.265</v>
      </c>
    </row>
    <row r="129">
      <c r="A129" t="inlineStr">
        <is>
          <t>10:00</t>
        </is>
      </c>
      <c r="B129" t="n">
        <v>0.28</v>
      </c>
      <c r="C129" t="n">
        <v>0.27</v>
      </c>
    </row>
    <row r="130">
      <c r="A130" t="inlineStr">
        <is>
          <t>10:01</t>
        </is>
      </c>
      <c r="B130" t="n">
        <v>0.27</v>
      </c>
      <c r="C130" t="n">
        <v>0.265</v>
      </c>
    </row>
    <row r="131">
      <c r="A131" t="inlineStr">
        <is>
          <t>10:02</t>
        </is>
      </c>
      <c r="C131" t="n">
        <v>0.265</v>
      </c>
    </row>
    <row r="132">
      <c r="A132" t="inlineStr">
        <is>
          <t>10:03</t>
        </is>
      </c>
      <c r="B132" t="n">
        <v>0.26</v>
      </c>
      <c r="C132" t="n">
        <v>0.27</v>
      </c>
    </row>
    <row r="133">
      <c r="A133" t="inlineStr">
        <is>
          <t>10:04</t>
        </is>
      </c>
      <c r="C133" t="n">
        <v>0.275</v>
      </c>
    </row>
    <row r="134">
      <c r="A134" t="inlineStr">
        <is>
          <t>10:05</t>
        </is>
      </c>
      <c r="B134" t="n">
        <v>0.28</v>
      </c>
      <c r="C134" t="n">
        <v>0.275</v>
      </c>
    </row>
    <row r="135">
      <c r="A135" t="inlineStr">
        <is>
          <t>10:06</t>
        </is>
      </c>
      <c r="C135" t="n">
        <v>0.275</v>
      </c>
    </row>
    <row r="136">
      <c r="A136" t="inlineStr">
        <is>
          <t>10:07</t>
        </is>
      </c>
      <c r="B136" t="n">
        <v>0.29</v>
      </c>
      <c r="C136" t="n">
        <v>0.28</v>
      </c>
    </row>
    <row r="137">
      <c r="A137" t="inlineStr">
        <is>
          <t>10:08</t>
        </is>
      </c>
      <c r="B137" t="n">
        <v>0.29</v>
      </c>
      <c r="C137" t="n">
        <v>0.28</v>
      </c>
    </row>
    <row r="138">
      <c r="A138" t="inlineStr">
        <is>
          <t>10:09</t>
        </is>
      </c>
      <c r="C138" t="n">
        <v>0.275</v>
      </c>
    </row>
    <row r="139">
      <c r="A139" t="inlineStr">
        <is>
          <t>10:10</t>
        </is>
      </c>
      <c r="C139" t="n">
        <v>0.275</v>
      </c>
    </row>
    <row r="140">
      <c r="A140" t="inlineStr">
        <is>
          <t>10:12</t>
        </is>
      </c>
      <c r="B140" t="n">
        <v>0.28</v>
      </c>
      <c r="C140" t="n">
        <v>0.275</v>
      </c>
    </row>
    <row r="141">
      <c r="A141" t="inlineStr">
        <is>
          <t>10:13</t>
        </is>
      </c>
      <c r="C141" t="n">
        <v>0.275</v>
      </c>
    </row>
    <row r="142">
      <c r="A142" t="inlineStr">
        <is>
          <t>10:14</t>
        </is>
      </c>
      <c r="C142" t="n">
        <v>0.275</v>
      </c>
    </row>
    <row r="143">
      <c r="A143" t="inlineStr">
        <is>
          <t>10:19</t>
        </is>
      </c>
      <c r="B143" t="n">
        <v>0.28</v>
      </c>
      <c r="C143" t="n">
        <v>0.275</v>
      </c>
    </row>
    <row r="144">
      <c r="A144" t="inlineStr">
        <is>
          <t>10:21</t>
        </is>
      </c>
      <c r="B144" t="n">
        <v>0.28</v>
      </c>
      <c r="C144" t="n">
        <v>0.275</v>
      </c>
    </row>
    <row r="145">
      <c r="A145" t="inlineStr">
        <is>
          <t>10:22</t>
        </is>
      </c>
      <c r="C145" t="n">
        <v>0.27</v>
      </c>
    </row>
    <row r="146">
      <c r="A146" t="inlineStr">
        <is>
          <t>10:23</t>
        </is>
      </c>
      <c r="C146" t="n">
        <v>0.275</v>
      </c>
    </row>
    <row r="147">
      <c r="A147" t="inlineStr">
        <is>
          <t>10:24</t>
        </is>
      </c>
      <c r="C147" t="n">
        <v>0.275</v>
      </c>
    </row>
    <row r="148">
      <c r="A148" t="inlineStr">
        <is>
          <t>10:25</t>
        </is>
      </c>
      <c r="B148" t="n">
        <v>0.27</v>
      </c>
      <c r="C148" t="n">
        <v>0.265</v>
      </c>
    </row>
    <row r="149">
      <c r="A149" t="inlineStr">
        <is>
          <t>10:26</t>
        </is>
      </c>
      <c r="C149" t="n">
        <v>0.265</v>
      </c>
    </row>
    <row r="150">
      <c r="A150" t="inlineStr">
        <is>
          <t>10:28</t>
        </is>
      </c>
      <c r="C150" t="n">
        <v>0.265</v>
      </c>
    </row>
    <row r="151">
      <c r="A151" t="inlineStr">
        <is>
          <t>10:29</t>
        </is>
      </c>
      <c r="C151" t="n">
        <v>0.265</v>
      </c>
    </row>
    <row r="152">
      <c r="A152" t="inlineStr">
        <is>
          <t>10:30</t>
        </is>
      </c>
      <c r="B152" t="n">
        <v>0.27</v>
      </c>
      <c r="C152" t="n">
        <v>0.265</v>
      </c>
    </row>
    <row r="153">
      <c r="A153" t="inlineStr">
        <is>
          <t>10:31</t>
        </is>
      </c>
      <c r="B153" t="n">
        <v>0.27</v>
      </c>
      <c r="C153" t="n">
        <v>0.265</v>
      </c>
    </row>
    <row r="154">
      <c r="A154" t="inlineStr">
        <is>
          <t>10:33</t>
        </is>
      </c>
      <c r="B154" t="n">
        <v>0.26</v>
      </c>
      <c r="C154" t="n">
        <v>0.265</v>
      </c>
    </row>
    <row r="155">
      <c r="A155" t="inlineStr">
        <is>
          <t>10:34</t>
        </is>
      </c>
      <c r="C155" t="n">
        <v>0.265</v>
      </c>
    </row>
    <row r="156">
      <c r="A156" t="inlineStr">
        <is>
          <t>10:35</t>
        </is>
      </c>
      <c r="C156" t="n">
        <v>0.265</v>
      </c>
    </row>
    <row r="157">
      <c r="A157" t="inlineStr">
        <is>
          <t>10:36</t>
        </is>
      </c>
      <c r="C157" t="n">
        <v>0.265</v>
      </c>
    </row>
    <row r="158">
      <c r="A158" t="inlineStr">
        <is>
          <t>10:37</t>
        </is>
      </c>
      <c r="B158" t="n">
        <v>0.27</v>
      </c>
      <c r="C158" t="n">
        <v>0.265</v>
      </c>
    </row>
    <row r="159">
      <c r="A159" t="inlineStr">
        <is>
          <t>10:40</t>
        </is>
      </c>
      <c r="B159" t="n">
        <v>0.27</v>
      </c>
      <c r="C159" t="n">
        <v>0.265</v>
      </c>
    </row>
    <row r="160">
      <c r="A160" t="inlineStr">
        <is>
          <t>10:42</t>
        </is>
      </c>
      <c r="B160" t="n">
        <v>0.27</v>
      </c>
      <c r="C160" t="n">
        <v>0.265</v>
      </c>
    </row>
    <row r="161">
      <c r="A161" t="inlineStr">
        <is>
          <t>10:44</t>
        </is>
      </c>
      <c r="B161" t="n">
        <v>0.27</v>
      </c>
      <c r="C161" t="n">
        <v>0.265</v>
      </c>
    </row>
    <row r="162">
      <c r="A162" t="inlineStr">
        <is>
          <t>10:45</t>
        </is>
      </c>
      <c r="B162" t="n">
        <v>0.27</v>
      </c>
      <c r="C162" t="n">
        <v>0.265</v>
      </c>
    </row>
    <row r="163">
      <c r="A163" t="inlineStr">
        <is>
          <t>10:47</t>
        </is>
      </c>
      <c r="B163" t="n">
        <v>0.28</v>
      </c>
      <c r="C163" t="n">
        <v>0.27</v>
      </c>
    </row>
    <row r="164">
      <c r="A164" t="inlineStr">
        <is>
          <t>10:49</t>
        </is>
      </c>
      <c r="B164" t="n">
        <v>0.28</v>
      </c>
      <c r="C164" t="n">
        <v>0.27</v>
      </c>
    </row>
    <row r="165">
      <c r="A165" t="inlineStr">
        <is>
          <t>10:50</t>
        </is>
      </c>
      <c r="C165" t="n">
        <v>0.27</v>
      </c>
    </row>
    <row r="166">
      <c r="A166" t="inlineStr">
        <is>
          <t>10:52</t>
        </is>
      </c>
      <c r="B166" t="n">
        <v>0.28</v>
      </c>
      <c r="C166" t="n">
        <v>0.27</v>
      </c>
    </row>
    <row r="167">
      <c r="A167" t="inlineStr">
        <is>
          <t>10:53</t>
        </is>
      </c>
      <c r="C167" t="n">
        <v>0.27</v>
      </c>
    </row>
    <row r="168">
      <c r="A168" t="inlineStr">
        <is>
          <t>10:54</t>
        </is>
      </c>
      <c r="C168" t="n">
        <v>0.27</v>
      </c>
    </row>
    <row r="169">
      <c r="A169" t="inlineStr">
        <is>
          <t>10:55</t>
        </is>
      </c>
      <c r="B169" t="n">
        <v>0.28</v>
      </c>
      <c r="C169" t="n">
        <v>0.27</v>
      </c>
    </row>
    <row r="170">
      <c r="A170" t="inlineStr">
        <is>
          <t>10:56</t>
        </is>
      </c>
      <c r="C170" t="n">
        <v>0.27</v>
      </c>
    </row>
    <row r="171">
      <c r="A171" t="inlineStr">
        <is>
          <t>11:01</t>
        </is>
      </c>
      <c r="C171" t="n">
        <v>0.275</v>
      </c>
    </row>
    <row r="172">
      <c r="A172" t="inlineStr">
        <is>
          <t>11:02</t>
        </is>
      </c>
      <c r="C172" t="n">
        <v>0.275</v>
      </c>
    </row>
    <row r="173">
      <c r="A173" t="inlineStr">
        <is>
          <t>11:04</t>
        </is>
      </c>
      <c r="B173" t="n">
        <v>0.28</v>
      </c>
      <c r="C173" t="n">
        <v>0.275</v>
      </c>
    </row>
    <row r="174">
      <c r="A174" t="inlineStr">
        <is>
          <t>11:06</t>
        </is>
      </c>
      <c r="C174" t="n">
        <v>0.275</v>
      </c>
    </row>
    <row r="175">
      <c r="A175" t="inlineStr">
        <is>
          <t>11:07</t>
        </is>
      </c>
      <c r="B175" t="n">
        <v>0.28</v>
      </c>
      <c r="C175" t="n">
        <v>0.275</v>
      </c>
    </row>
    <row r="176">
      <c r="A176" t="inlineStr">
        <is>
          <t>11:10</t>
        </is>
      </c>
      <c r="C176" t="n">
        <v>0.275</v>
      </c>
    </row>
    <row r="177">
      <c r="A177" t="inlineStr">
        <is>
          <t>11:13</t>
        </is>
      </c>
      <c r="C177" t="n">
        <v>0.275</v>
      </c>
    </row>
    <row r="178">
      <c r="A178" t="inlineStr">
        <is>
          <t>11:14</t>
        </is>
      </c>
      <c r="C178" t="n">
        <v>0.275</v>
      </c>
    </row>
    <row r="179">
      <c r="A179" t="inlineStr">
        <is>
          <t>11:16</t>
        </is>
      </c>
      <c r="B179" t="n">
        <v>0.28</v>
      </c>
      <c r="C179" t="n">
        <v>0.275</v>
      </c>
    </row>
    <row r="180">
      <c r="A180" t="inlineStr">
        <is>
          <t>11:17</t>
        </is>
      </c>
      <c r="B180" t="n">
        <v>0.27</v>
      </c>
      <c r="C180" t="n">
        <v>0.275</v>
      </c>
    </row>
    <row r="181">
      <c r="A181" t="inlineStr">
        <is>
          <t>11:20</t>
        </is>
      </c>
      <c r="B181" t="n">
        <v>0.27</v>
      </c>
      <c r="C181" t="n">
        <v>0.275</v>
      </c>
    </row>
    <row r="182">
      <c r="A182" t="inlineStr">
        <is>
          <t>11:21</t>
        </is>
      </c>
      <c r="B182" t="n">
        <v>0.28</v>
      </c>
      <c r="C182" t="n">
        <v>0.275</v>
      </c>
    </row>
    <row r="183">
      <c r="A183" t="inlineStr">
        <is>
          <t>11:30</t>
        </is>
      </c>
      <c r="B183" t="n">
        <v>0.28</v>
      </c>
      <c r="C183" t="n">
        <v>0.275</v>
      </c>
    </row>
    <row r="184">
      <c r="A184" t="inlineStr">
        <is>
          <t>11:31</t>
        </is>
      </c>
      <c r="C184" t="n">
        <v>0.275</v>
      </c>
    </row>
    <row r="185">
      <c r="A185" t="inlineStr">
        <is>
          <t>11:33</t>
        </is>
      </c>
      <c r="B185" t="n">
        <v>0.28</v>
      </c>
      <c r="C185" t="n">
        <v>0.275</v>
      </c>
    </row>
    <row r="186">
      <c r="A186" t="inlineStr">
        <is>
          <t>11:35</t>
        </is>
      </c>
      <c r="B186" t="n">
        <v>0.28</v>
      </c>
      <c r="C186" t="n">
        <v>0.275</v>
      </c>
    </row>
    <row r="187">
      <c r="A187" t="inlineStr">
        <is>
          <t>11:37</t>
        </is>
      </c>
      <c r="C187" t="n">
        <v>0.275</v>
      </c>
    </row>
    <row r="188">
      <c r="A188" t="inlineStr">
        <is>
          <t>11:40</t>
        </is>
      </c>
      <c r="B188" t="n">
        <v>0.28</v>
      </c>
      <c r="C188" t="n">
        <v>0.275</v>
      </c>
    </row>
    <row r="189">
      <c r="A189" t="inlineStr">
        <is>
          <t>11:42</t>
        </is>
      </c>
      <c r="C189" t="n">
        <v>0.275</v>
      </c>
    </row>
    <row r="190">
      <c r="A190" t="inlineStr">
        <is>
          <t>11:44</t>
        </is>
      </c>
      <c r="B190" t="n">
        <v>0.28</v>
      </c>
      <c r="C190" t="n">
        <v>0.275</v>
      </c>
    </row>
    <row r="191">
      <c r="A191" t="inlineStr">
        <is>
          <t>11:46</t>
        </is>
      </c>
      <c r="B191" t="n">
        <v>0.28</v>
      </c>
      <c r="C191" t="n">
        <v>0.275</v>
      </c>
    </row>
    <row r="192">
      <c r="A192" t="inlineStr">
        <is>
          <t>11:47</t>
        </is>
      </c>
      <c r="C192" t="n">
        <v>0.275</v>
      </c>
    </row>
    <row r="193">
      <c r="A193" t="inlineStr">
        <is>
          <t>11:48</t>
        </is>
      </c>
      <c r="B193" t="n">
        <v>0.28</v>
      </c>
      <c r="C193" t="n">
        <v>0.275</v>
      </c>
    </row>
    <row r="194">
      <c r="A194" t="inlineStr">
        <is>
          <t>11:53</t>
        </is>
      </c>
      <c r="B194" t="n">
        <v>0.28</v>
      </c>
      <c r="C194" t="n">
        <v>0.275</v>
      </c>
    </row>
    <row r="195">
      <c r="A195" t="inlineStr">
        <is>
          <t>11:54</t>
        </is>
      </c>
      <c r="C195" t="n">
        <v>0.275</v>
      </c>
    </row>
    <row r="196">
      <c r="A196" t="inlineStr">
        <is>
          <t>11:55</t>
        </is>
      </c>
      <c r="C196" t="n">
        <v>0.275</v>
      </c>
    </row>
    <row r="197">
      <c r="A197" t="inlineStr">
        <is>
          <t>11:56</t>
        </is>
      </c>
      <c r="B197" t="n">
        <v>0.29</v>
      </c>
      <c r="C197" t="n">
        <v>0.28</v>
      </c>
    </row>
    <row r="198">
      <c r="A198" t="inlineStr">
        <is>
          <t>11:58</t>
        </is>
      </c>
      <c r="B198" t="n">
        <v>0.26</v>
      </c>
      <c r="C198" t="n">
        <v>0.275</v>
      </c>
    </row>
    <row r="199">
      <c r="A199" t="inlineStr">
        <is>
          <t>11:59</t>
        </is>
      </c>
      <c r="B199" t="n">
        <v>0.29</v>
      </c>
      <c r="C199" t="n">
        <v>0.28</v>
      </c>
    </row>
    <row r="200">
      <c r="A200" t="inlineStr">
        <is>
          <t>12:00</t>
        </is>
      </c>
      <c r="B200" t="n">
        <v>0.29</v>
      </c>
      <c r="C200" t="n">
        <v>0.28</v>
      </c>
    </row>
    <row r="201">
      <c r="A201" t="inlineStr">
        <is>
          <t>12:01</t>
        </is>
      </c>
      <c r="C201" t="n">
        <v>0.27</v>
      </c>
    </row>
    <row r="202">
      <c r="A202" t="inlineStr">
        <is>
          <t>12:02</t>
        </is>
      </c>
      <c r="B202" t="n">
        <v>0.29</v>
      </c>
      <c r="C202" t="n">
        <v>0.28</v>
      </c>
    </row>
    <row r="203">
      <c r="A203" t="inlineStr">
        <is>
          <t>12:03</t>
        </is>
      </c>
      <c r="B203" t="n">
        <v>0.29</v>
      </c>
      <c r="C203" t="n">
        <v>0.285</v>
      </c>
    </row>
    <row r="204">
      <c r="A204" t="inlineStr">
        <is>
          <t>12:04</t>
        </is>
      </c>
      <c r="C204" t="n">
        <v>0.285</v>
      </c>
    </row>
    <row r="205">
      <c r="A205" t="inlineStr">
        <is>
          <t>12:08</t>
        </is>
      </c>
      <c r="B205" t="n">
        <v>0.29</v>
      </c>
      <c r="C205" t="n">
        <v>0.28</v>
      </c>
    </row>
    <row r="206">
      <c r="A206" t="inlineStr">
        <is>
          <t>12:11</t>
        </is>
      </c>
      <c r="B206" t="n">
        <v>0.29</v>
      </c>
      <c r="C206" t="n">
        <v>0.28</v>
      </c>
    </row>
    <row r="207">
      <c r="A207" t="inlineStr">
        <is>
          <t>12:12</t>
        </is>
      </c>
      <c r="B207" t="n">
        <v>0.29</v>
      </c>
      <c r="C207" t="n">
        <v>0.28</v>
      </c>
    </row>
    <row r="208">
      <c r="A208" t="inlineStr">
        <is>
          <t>12:15</t>
        </is>
      </c>
      <c r="B208" t="n">
        <v>0.29</v>
      </c>
      <c r="C208" t="n">
        <v>0.28</v>
      </c>
    </row>
    <row r="209">
      <c r="A209" t="inlineStr">
        <is>
          <t>12:17</t>
        </is>
      </c>
      <c r="C209" t="n">
        <v>0.285</v>
      </c>
    </row>
    <row r="210">
      <c r="A210" t="inlineStr">
        <is>
          <t>12:19</t>
        </is>
      </c>
      <c r="B210" t="n">
        <v>0.29</v>
      </c>
      <c r="C210" t="n">
        <v>0.285</v>
      </c>
    </row>
    <row r="211">
      <c r="A211" t="inlineStr">
        <is>
          <t>12:21</t>
        </is>
      </c>
      <c r="C211" t="n">
        <v>0.285</v>
      </c>
    </row>
    <row r="212">
      <c r="A212" t="inlineStr">
        <is>
          <t>12:22</t>
        </is>
      </c>
      <c r="B212" t="n">
        <v>0.29</v>
      </c>
      <c r="C212" t="n">
        <v>0.285</v>
      </c>
    </row>
    <row r="213">
      <c r="A213" t="inlineStr">
        <is>
          <t>12:23</t>
        </is>
      </c>
      <c r="B213" t="n">
        <v>0.29</v>
      </c>
      <c r="C213" t="n">
        <v>0.285</v>
      </c>
    </row>
    <row r="214">
      <c r="A214" t="inlineStr">
        <is>
          <t>12:39</t>
        </is>
      </c>
      <c r="C214" t="n">
        <v>0.285</v>
      </c>
    </row>
    <row r="215">
      <c r="A215" t="inlineStr">
        <is>
          <t>12:40</t>
        </is>
      </c>
      <c r="C215" t="n">
        <v>0.285</v>
      </c>
    </row>
    <row r="216">
      <c r="A216" t="inlineStr">
        <is>
          <t>12:42</t>
        </is>
      </c>
      <c r="B216" t="n">
        <v>0.29</v>
      </c>
      <c r="C216" t="n">
        <v>0.285</v>
      </c>
    </row>
    <row r="217">
      <c r="A217" t="inlineStr">
        <is>
          <t>12:44</t>
        </is>
      </c>
      <c r="C217" t="n">
        <v>0.285</v>
      </c>
    </row>
    <row r="218">
      <c r="A218" t="inlineStr">
        <is>
          <t>12:45</t>
        </is>
      </c>
      <c r="B218" t="n">
        <v>0.29</v>
      </c>
      <c r="C218" t="n">
        <v>0.285</v>
      </c>
    </row>
    <row r="219">
      <c r="A219" t="inlineStr">
        <is>
          <t>12:49</t>
        </is>
      </c>
      <c r="B219" t="n">
        <v>0.27</v>
      </c>
      <c r="C219" t="n">
        <v>0.27</v>
      </c>
    </row>
    <row r="220">
      <c r="A220" t="inlineStr">
        <is>
          <t>12:50</t>
        </is>
      </c>
      <c r="B220" t="n">
        <v>0.28</v>
      </c>
      <c r="C220" t="n">
        <v>0.275</v>
      </c>
    </row>
    <row r="221">
      <c r="A221" t="inlineStr">
        <is>
          <t>12:51</t>
        </is>
      </c>
      <c r="C221" t="n">
        <v>0.275</v>
      </c>
    </row>
    <row r="222">
      <c r="A222" t="inlineStr">
        <is>
          <t>12:53</t>
        </is>
      </c>
      <c r="C222" t="n">
        <v>0.275</v>
      </c>
    </row>
    <row r="223">
      <c r="A223" t="inlineStr">
        <is>
          <t>12:55</t>
        </is>
      </c>
      <c r="C223" t="n">
        <v>0.275</v>
      </c>
    </row>
    <row r="224">
      <c r="A224" t="inlineStr">
        <is>
          <t>13:01</t>
        </is>
      </c>
      <c r="B224" t="n">
        <v>0.29</v>
      </c>
      <c r="C224" t="n">
        <v>0.285</v>
      </c>
    </row>
    <row r="225">
      <c r="A225" t="inlineStr">
        <is>
          <t>13:02</t>
        </is>
      </c>
      <c r="B225" t="n">
        <v>0.29</v>
      </c>
      <c r="C225" t="n">
        <v>0.285</v>
      </c>
    </row>
    <row r="226">
      <c r="A226" t="inlineStr">
        <is>
          <t>13:04</t>
        </is>
      </c>
      <c r="C226" t="n">
        <v>0.285</v>
      </c>
    </row>
    <row r="227">
      <c r="A227" t="inlineStr">
        <is>
          <t>13:05</t>
        </is>
      </c>
      <c r="C227" t="n">
        <v>0.285</v>
      </c>
    </row>
    <row r="228">
      <c r="A228" t="inlineStr">
        <is>
          <t>13:06</t>
        </is>
      </c>
      <c r="B228" t="n">
        <v>0.29</v>
      </c>
      <c r="C228" t="n">
        <v>0.285</v>
      </c>
    </row>
    <row r="229">
      <c r="A229" t="inlineStr">
        <is>
          <t>13:08</t>
        </is>
      </c>
      <c r="B229" t="n">
        <v>0.29</v>
      </c>
      <c r="C229" t="n">
        <v>0.285</v>
      </c>
    </row>
    <row r="230">
      <c r="A230" t="inlineStr">
        <is>
          <t>13:13</t>
        </is>
      </c>
      <c r="B230" t="n">
        <v>0.29</v>
      </c>
      <c r="C230" t="n">
        <v>0.285</v>
      </c>
    </row>
    <row r="231">
      <c r="A231" t="inlineStr">
        <is>
          <t>13:14</t>
        </is>
      </c>
      <c r="B231" t="n">
        <v>0.29</v>
      </c>
      <c r="C231" t="n">
        <v>0.285</v>
      </c>
    </row>
    <row r="232">
      <c r="A232" t="inlineStr">
        <is>
          <t>13:15</t>
        </is>
      </c>
      <c r="B232" t="n">
        <v>0.29</v>
      </c>
      <c r="C232" t="n">
        <v>0.285</v>
      </c>
    </row>
    <row r="233">
      <c r="A233" t="inlineStr">
        <is>
          <t>13:20</t>
        </is>
      </c>
      <c r="B233" t="n">
        <v>0.28</v>
      </c>
      <c r="C233" t="n">
        <v>0.285</v>
      </c>
    </row>
    <row r="234">
      <c r="A234" t="inlineStr">
        <is>
          <t>13:22</t>
        </is>
      </c>
      <c r="B234" t="n">
        <v>0.29</v>
      </c>
      <c r="C234" t="n">
        <v>0.285</v>
      </c>
    </row>
    <row r="235">
      <c r="A235" t="inlineStr">
        <is>
          <t>13:35</t>
        </is>
      </c>
      <c r="C235" t="n">
        <v>0.285</v>
      </c>
    </row>
    <row r="236">
      <c r="A236" t="inlineStr">
        <is>
          <t>13:38</t>
        </is>
      </c>
      <c r="B236" t="n">
        <v>0.29</v>
      </c>
      <c r="C236" t="n">
        <v>0.285</v>
      </c>
    </row>
    <row r="237">
      <c r="A237" t="inlineStr">
        <is>
          <t>13:42</t>
        </is>
      </c>
      <c r="B237" t="n">
        <v>0.28</v>
      </c>
      <c r="C237" t="n">
        <v>0.285</v>
      </c>
    </row>
    <row r="238">
      <c r="A238" t="inlineStr">
        <is>
          <t>13:46</t>
        </is>
      </c>
      <c r="B238" t="n">
        <v>0.29</v>
      </c>
      <c r="C238" t="n">
        <v>0.285</v>
      </c>
    </row>
    <row r="239">
      <c r="A239" t="inlineStr">
        <is>
          <t>13:47</t>
        </is>
      </c>
      <c r="B239" t="n">
        <v>0.29</v>
      </c>
      <c r="C239" t="n">
        <v>0.285</v>
      </c>
    </row>
    <row r="240">
      <c r="A240" t="inlineStr">
        <is>
          <t>13:50</t>
        </is>
      </c>
      <c r="B240" t="n">
        <v>0.29</v>
      </c>
      <c r="C240" t="n">
        <v>0.285</v>
      </c>
    </row>
    <row r="241">
      <c r="A241" t="inlineStr">
        <is>
          <t>13:52</t>
        </is>
      </c>
      <c r="B241" t="n">
        <v>0.29</v>
      </c>
      <c r="C241" t="n">
        <v>0.285</v>
      </c>
    </row>
    <row r="242">
      <c r="A242" t="inlineStr">
        <is>
          <t>13:53</t>
        </is>
      </c>
      <c r="B242" t="n">
        <v>0.29</v>
      </c>
      <c r="C242" t="n">
        <v>0.285</v>
      </c>
    </row>
    <row r="243">
      <c r="A243" t="inlineStr">
        <is>
          <t>13:55</t>
        </is>
      </c>
      <c r="C243" t="n">
        <v>0.285</v>
      </c>
    </row>
    <row r="244">
      <c r="A244" t="inlineStr">
        <is>
          <t>13:56</t>
        </is>
      </c>
      <c r="B244" t="n">
        <v>0.29</v>
      </c>
      <c r="C244" t="n">
        <v>0.285</v>
      </c>
    </row>
    <row r="245">
      <c r="A245" t="inlineStr">
        <is>
          <t>13:57</t>
        </is>
      </c>
      <c r="B245" t="n">
        <v>0.29</v>
      </c>
      <c r="C245" t="n">
        <v>0.285</v>
      </c>
    </row>
    <row r="246">
      <c r="A246" t="inlineStr">
        <is>
          <t>13:59</t>
        </is>
      </c>
      <c r="B246" t="n">
        <v>0.29</v>
      </c>
      <c r="C246" t="n">
        <v>0.285</v>
      </c>
    </row>
    <row r="247">
      <c r="A247" t="inlineStr">
        <is>
          <t>14:00</t>
        </is>
      </c>
      <c r="B247" t="n">
        <v>0.28</v>
      </c>
      <c r="C247" t="n">
        <v>0.285</v>
      </c>
    </row>
    <row r="248">
      <c r="A248" t="inlineStr">
        <is>
          <t>14:03</t>
        </is>
      </c>
      <c r="B248" t="n">
        <v>0.29</v>
      </c>
      <c r="C248" t="n">
        <v>0.285</v>
      </c>
    </row>
    <row r="249">
      <c r="A249" t="inlineStr">
        <is>
          <t>14:04</t>
        </is>
      </c>
      <c r="C249" t="n">
        <v>0.285</v>
      </c>
    </row>
    <row r="250">
      <c r="A250" t="inlineStr">
        <is>
          <t>14:08</t>
        </is>
      </c>
      <c r="B250" t="n">
        <v>0.29</v>
      </c>
      <c r="C250" t="n">
        <v>0.285</v>
      </c>
    </row>
    <row r="251">
      <c r="A251" t="inlineStr">
        <is>
          <t>14:09</t>
        </is>
      </c>
      <c r="B251" t="n">
        <v>0.29</v>
      </c>
      <c r="C251" t="n">
        <v>0.285</v>
      </c>
    </row>
    <row r="252">
      <c r="A252" t="inlineStr">
        <is>
          <t>14:14</t>
        </is>
      </c>
      <c r="C252" t="n">
        <v>0.285</v>
      </c>
    </row>
    <row r="253">
      <c r="A253" t="inlineStr">
        <is>
          <t>14:21</t>
        </is>
      </c>
      <c r="B253" t="n">
        <v>0.28</v>
      </c>
      <c r="C253" t="n">
        <v>0.285</v>
      </c>
    </row>
    <row r="254">
      <c r="A254" t="inlineStr">
        <is>
          <t>14:29</t>
        </is>
      </c>
      <c r="C254" t="n">
        <v>0.285</v>
      </c>
    </row>
    <row r="255">
      <c r="A255" t="inlineStr">
        <is>
          <t>14:38</t>
        </is>
      </c>
      <c r="B255" t="n">
        <v>0.28</v>
      </c>
      <c r="C255" t="n">
        <v>0.275</v>
      </c>
    </row>
    <row r="256">
      <c r="A256" t="inlineStr">
        <is>
          <t>14:39</t>
        </is>
      </c>
      <c r="C256" t="n">
        <v>0.275</v>
      </c>
    </row>
    <row r="257">
      <c r="A257" t="inlineStr">
        <is>
          <t>14:40</t>
        </is>
      </c>
      <c r="C257" t="n">
        <v>0.275</v>
      </c>
    </row>
    <row r="258">
      <c r="A258" t="inlineStr">
        <is>
          <t>14:41</t>
        </is>
      </c>
      <c r="C258" t="n">
        <v>0.275</v>
      </c>
    </row>
    <row r="259">
      <c r="A259" t="inlineStr">
        <is>
          <t>14:42</t>
        </is>
      </c>
      <c r="C259" t="n">
        <v>0.275</v>
      </c>
    </row>
    <row r="260">
      <c r="A260" t="inlineStr">
        <is>
          <t>14:43</t>
        </is>
      </c>
      <c r="C260" t="n">
        <v>0.275</v>
      </c>
    </row>
    <row r="261">
      <c r="A261" t="inlineStr">
        <is>
          <t>14:44</t>
        </is>
      </c>
      <c r="C261" t="n">
        <v>0.275</v>
      </c>
    </row>
    <row r="262">
      <c r="A262" t="inlineStr">
        <is>
          <t>14:45</t>
        </is>
      </c>
      <c r="C262" t="n">
        <v>0.275</v>
      </c>
    </row>
    <row r="263">
      <c r="A263" t="inlineStr">
        <is>
          <t>14:46</t>
        </is>
      </c>
      <c r="C263" t="n">
        <v>0.275</v>
      </c>
    </row>
    <row r="264">
      <c r="A264" t="inlineStr">
        <is>
          <t>14:47</t>
        </is>
      </c>
      <c r="C264" t="n">
        <v>0.275</v>
      </c>
    </row>
    <row r="265">
      <c r="A265" t="inlineStr">
        <is>
          <t>14:49</t>
        </is>
      </c>
      <c r="C265" t="n">
        <v>0.275</v>
      </c>
    </row>
    <row r="266">
      <c r="A266" t="inlineStr">
        <is>
          <t>14:51</t>
        </is>
      </c>
      <c r="B266" t="n">
        <v>0.28</v>
      </c>
      <c r="C266" t="n">
        <v>0.275</v>
      </c>
    </row>
    <row r="267">
      <c r="A267" t="inlineStr">
        <is>
          <t>14:52</t>
        </is>
      </c>
      <c r="B267" t="n">
        <v>0.28</v>
      </c>
      <c r="C267" t="n">
        <v>0.275</v>
      </c>
    </row>
    <row r="268">
      <c r="A268" t="inlineStr">
        <is>
          <t>14:53</t>
        </is>
      </c>
      <c r="B268" t="n">
        <v>0.28</v>
      </c>
      <c r="C268" t="n">
        <v>0.275</v>
      </c>
    </row>
    <row r="269">
      <c r="A269" t="inlineStr">
        <is>
          <t>14:55</t>
        </is>
      </c>
      <c r="B269" t="n">
        <v>0.28</v>
      </c>
      <c r="C269" t="n">
        <v>0.275</v>
      </c>
    </row>
    <row r="270">
      <c r="A270" t="inlineStr">
        <is>
          <t>14:57</t>
        </is>
      </c>
      <c r="B270" t="n">
        <v>0.28</v>
      </c>
      <c r="C270" t="n">
        <v>0.275</v>
      </c>
    </row>
    <row r="271">
      <c r="A271" t="inlineStr">
        <is>
          <t>14:59</t>
        </is>
      </c>
      <c r="C271" t="n">
        <v>0.275</v>
      </c>
    </row>
    <row r="272">
      <c r="A272" t="inlineStr">
        <is>
          <t>15:02</t>
        </is>
      </c>
      <c r="B272" t="n">
        <v>0.28</v>
      </c>
      <c r="C272" t="n">
        <v>0.275</v>
      </c>
    </row>
    <row r="273">
      <c r="A273" t="inlineStr">
        <is>
          <t>15:12</t>
        </is>
      </c>
      <c r="C273" t="n">
        <v>0.275</v>
      </c>
    </row>
    <row r="274">
      <c r="A274" t="inlineStr">
        <is>
          <t>15:13</t>
        </is>
      </c>
      <c r="B274" t="n">
        <v>0.28</v>
      </c>
      <c r="C274" t="n">
        <v>0.275</v>
      </c>
    </row>
    <row r="275">
      <c r="A275" t="inlineStr">
        <is>
          <t>15:16</t>
        </is>
      </c>
      <c r="B275" t="n">
        <v>0.28</v>
      </c>
      <c r="C275" t="n">
        <v>0.275</v>
      </c>
    </row>
    <row r="276">
      <c r="A276" t="inlineStr">
        <is>
          <t>15:18</t>
        </is>
      </c>
      <c r="B276" t="n">
        <v>0.28</v>
      </c>
      <c r="C276" t="n">
        <v>0.275</v>
      </c>
    </row>
    <row r="277">
      <c r="A277" t="inlineStr">
        <is>
          <t>15:21</t>
        </is>
      </c>
      <c r="C277" t="n">
        <v>0.275</v>
      </c>
    </row>
    <row r="278">
      <c r="A278" t="inlineStr">
        <is>
          <t>15:24</t>
        </is>
      </c>
      <c r="B278" t="n">
        <v>0.28</v>
      </c>
      <c r="C278" t="n">
        <v>0.275</v>
      </c>
    </row>
    <row r="279">
      <c r="A279" t="inlineStr">
        <is>
          <t>15:26</t>
        </is>
      </c>
      <c r="B279" t="n">
        <v>0.28</v>
      </c>
      <c r="C279" t="n">
        <v>0.275</v>
      </c>
    </row>
    <row r="280">
      <c r="A280" t="inlineStr">
        <is>
          <t>15:27</t>
        </is>
      </c>
      <c r="B280" t="n">
        <v>0.28</v>
      </c>
      <c r="C280" t="n">
        <v>0.275</v>
      </c>
    </row>
    <row r="281">
      <c r="A281" t="inlineStr">
        <is>
          <t>15:28</t>
        </is>
      </c>
      <c r="B281" t="n">
        <v>0.27</v>
      </c>
      <c r="C281" t="n">
        <v>0.275</v>
      </c>
    </row>
    <row r="282">
      <c r="A282" t="inlineStr">
        <is>
          <t>15:29</t>
        </is>
      </c>
      <c r="B282" t="n">
        <v>0.28</v>
      </c>
      <c r="C282" t="n">
        <v>0.275</v>
      </c>
    </row>
    <row r="283">
      <c r="A283" t="inlineStr">
        <is>
          <t>15:32</t>
        </is>
      </c>
      <c r="B283" t="n">
        <v>0.28</v>
      </c>
      <c r="C283" t="n">
        <v>0.275</v>
      </c>
    </row>
    <row r="284">
      <c r="A284" t="inlineStr">
        <is>
          <t>15:33</t>
        </is>
      </c>
      <c r="B284" t="n">
        <v>0.28</v>
      </c>
      <c r="C284" t="n">
        <v>0.275</v>
      </c>
    </row>
    <row r="285">
      <c r="A285" t="inlineStr">
        <is>
          <t>15:43</t>
        </is>
      </c>
      <c r="B285" t="n">
        <v>0.28</v>
      </c>
      <c r="C285" t="n">
        <v>0.275</v>
      </c>
    </row>
    <row r="286">
      <c r="A286" t="inlineStr">
        <is>
          <t>15:44</t>
        </is>
      </c>
      <c r="B286" t="n">
        <v>0.28</v>
      </c>
      <c r="C286" t="n">
        <v>0.275</v>
      </c>
    </row>
    <row r="287">
      <c r="A287" t="inlineStr">
        <is>
          <t>15:45</t>
        </is>
      </c>
      <c r="B287" t="n">
        <v>0.27</v>
      </c>
      <c r="C287" t="n">
        <v>0.275</v>
      </c>
    </row>
    <row r="288">
      <c r="A288" t="inlineStr">
        <is>
          <t>15:46</t>
        </is>
      </c>
      <c r="B288" t="n">
        <v>0.28</v>
      </c>
      <c r="C288" t="n">
        <v>0.275</v>
      </c>
    </row>
    <row r="289">
      <c r="A289" t="inlineStr">
        <is>
          <t>15:48</t>
        </is>
      </c>
      <c r="B289" t="n">
        <v>0.27</v>
      </c>
      <c r="C289" t="n">
        <v>0.275</v>
      </c>
    </row>
    <row r="290">
      <c r="A290" t="inlineStr">
        <is>
          <t>15:49</t>
        </is>
      </c>
      <c r="B290" t="n">
        <v>0.28</v>
      </c>
      <c r="C290" t="n">
        <v>0.275</v>
      </c>
    </row>
    <row r="291">
      <c r="A291" t="inlineStr">
        <is>
          <t>15:50</t>
        </is>
      </c>
      <c r="C291" t="n">
        <v>0.275</v>
      </c>
    </row>
    <row r="292">
      <c r="A292" t="inlineStr">
        <is>
          <t>15:51</t>
        </is>
      </c>
      <c r="C292" t="n">
        <v>0.275</v>
      </c>
    </row>
    <row r="293">
      <c r="A293" t="inlineStr">
        <is>
          <t>15:52</t>
        </is>
      </c>
      <c r="B293" t="n">
        <v>0.28</v>
      </c>
      <c r="C293" t="n">
        <v>0.275</v>
      </c>
    </row>
    <row r="294">
      <c r="A294" t="inlineStr">
        <is>
          <t>15:56</t>
        </is>
      </c>
      <c r="B294" t="n">
        <v>0.27</v>
      </c>
      <c r="C294" t="n">
        <v>0.275</v>
      </c>
    </row>
    <row r="295">
      <c r="A295" t="inlineStr">
        <is>
          <t>16:00</t>
        </is>
      </c>
      <c r="B295" t="n">
        <v>0.28</v>
      </c>
      <c r="C295" t="n">
        <v>0.275</v>
      </c>
    </row>
    <row r="296">
      <c r="A296" t="inlineStr">
        <is>
          <t>16:02</t>
        </is>
      </c>
      <c r="B296" t="n">
        <v>0.29</v>
      </c>
      <c r="C296" t="n">
        <v>0.285</v>
      </c>
    </row>
    <row r="297">
      <c r="A297" t="inlineStr">
        <is>
          <t>16:03</t>
        </is>
      </c>
      <c r="C297" t="n">
        <v>0.285</v>
      </c>
    </row>
    <row r="298">
      <c r="A298" t="inlineStr">
        <is>
          <t>16:04</t>
        </is>
      </c>
      <c r="B298" t="n">
        <v>0.29</v>
      </c>
      <c r="C298" t="n">
        <v>0.285</v>
      </c>
    </row>
    <row r="299">
      <c r="A299" t="inlineStr">
        <is>
          <t>16:06</t>
        </is>
      </c>
      <c r="B299" t="n">
        <v>0.29</v>
      </c>
      <c r="C299" t="n">
        <v>0.285</v>
      </c>
    </row>
    <row r="300">
      <c r="A300" t="inlineStr">
        <is>
          <t>16:08</t>
        </is>
      </c>
      <c r="B300" t="n">
        <v>0.29</v>
      </c>
      <c r="C300" t="n">
        <v>0.285</v>
      </c>
    </row>
    <row r="301">
      <c r="A301" t="inlineStr">
        <is>
          <t>16:09</t>
        </is>
      </c>
      <c r="B301" t="n">
        <v>0.29</v>
      </c>
      <c r="C301" t="n">
        <v>0.285</v>
      </c>
    </row>
    <row r="302">
      <c r="A302" t="inlineStr">
        <is>
          <t>16:11</t>
        </is>
      </c>
      <c r="C302" t="n">
        <v>0.285</v>
      </c>
    </row>
    <row r="303">
      <c r="A303" t="inlineStr">
        <is>
          <t>16:12</t>
        </is>
      </c>
      <c r="C303" t="n">
        <v>0.285</v>
      </c>
    </row>
    <row r="304">
      <c r="A304" t="inlineStr">
        <is>
          <t>16:13</t>
        </is>
      </c>
      <c r="C304" t="n">
        <v>0.285</v>
      </c>
    </row>
    <row r="305">
      <c r="A305" t="inlineStr">
        <is>
          <t>16:14</t>
        </is>
      </c>
      <c r="C305" t="n">
        <v>0.285</v>
      </c>
    </row>
    <row r="306">
      <c r="A306" t="inlineStr">
        <is>
          <t>16:15</t>
        </is>
      </c>
      <c r="B306" t="n">
        <v>0.27</v>
      </c>
      <c r="C306" t="n">
        <v>0.275</v>
      </c>
    </row>
    <row r="307">
      <c r="A307" t="inlineStr">
        <is>
          <t>16:16</t>
        </is>
      </c>
      <c r="B307" t="n">
        <v>0.27</v>
      </c>
      <c r="C307" t="n">
        <v>0.275</v>
      </c>
    </row>
    <row r="308">
      <c r="A308" t="inlineStr">
        <is>
          <t>16:21</t>
        </is>
      </c>
      <c r="C308" t="n">
        <v>0.275</v>
      </c>
    </row>
    <row r="309">
      <c r="A309" t="inlineStr">
        <is>
          <t>16:25</t>
        </is>
      </c>
      <c r="C309" t="n">
        <v>0.275</v>
      </c>
    </row>
    <row r="310">
      <c r="A310" t="inlineStr">
        <is>
          <t>16:32</t>
        </is>
      </c>
      <c r="B310" t="n">
        <v>0.28</v>
      </c>
      <c r="C310" t="n">
        <v>0.275</v>
      </c>
    </row>
    <row r="311">
      <c r="A311" t="inlineStr">
        <is>
          <t>16:38</t>
        </is>
      </c>
      <c r="B311" t="n">
        <v>0.28</v>
      </c>
      <c r="C311" t="n">
        <v>0.275</v>
      </c>
    </row>
    <row r="312">
      <c r="A312" t="inlineStr">
        <is>
          <t>16:41</t>
        </is>
      </c>
      <c r="B312" t="n">
        <v>0.28</v>
      </c>
      <c r="C312" t="n">
        <v>0.275</v>
      </c>
    </row>
    <row r="313">
      <c r="A313" t="inlineStr">
        <is>
          <t>16:52</t>
        </is>
      </c>
      <c r="B313" t="n">
        <v>0.27</v>
      </c>
      <c r="C313" t="n">
        <v>0.275</v>
      </c>
    </row>
    <row r="314">
      <c r="A314" t="inlineStr">
        <is>
          <t>16:55</t>
        </is>
      </c>
      <c r="C314" t="n">
        <v>0.275</v>
      </c>
    </row>
    <row r="315">
      <c r="A315" t="inlineStr">
        <is>
          <t>16:56</t>
        </is>
      </c>
      <c r="C315" t="n">
        <v>0.275</v>
      </c>
    </row>
    <row r="316">
      <c r="A316" t="inlineStr">
        <is>
          <t>17:01</t>
        </is>
      </c>
      <c r="C316" t="n">
        <v>0.275</v>
      </c>
    </row>
    <row r="317">
      <c r="A317" t="inlineStr">
        <is>
          <t>17:04</t>
        </is>
      </c>
      <c r="C317" t="n">
        <v>0.275</v>
      </c>
    </row>
    <row r="318">
      <c r="A318" t="inlineStr">
        <is>
          <t>17:14</t>
        </is>
      </c>
      <c r="B318" t="n">
        <v>0.28</v>
      </c>
      <c r="C318" t="n">
        <v>0.275</v>
      </c>
    </row>
    <row r="319">
      <c r="A319" t="inlineStr">
        <is>
          <t>17:15</t>
        </is>
      </c>
      <c r="B319" t="n">
        <v>0.27</v>
      </c>
      <c r="C319" t="n">
        <v>0.275</v>
      </c>
    </row>
    <row r="320">
      <c r="A320" t="inlineStr">
        <is>
          <t>17:16</t>
        </is>
      </c>
      <c r="B320" t="n">
        <v>0.28</v>
      </c>
      <c r="C320" t="n">
        <v>0.275</v>
      </c>
    </row>
    <row r="321">
      <c r="A321" t="inlineStr">
        <is>
          <t>17:18</t>
        </is>
      </c>
      <c r="B321" t="n">
        <v>0.28</v>
      </c>
      <c r="C321" t="n">
        <v>0.275</v>
      </c>
    </row>
    <row r="322">
      <c r="A322" t="inlineStr">
        <is>
          <t>17:24</t>
        </is>
      </c>
      <c r="B322" t="n">
        <v>0.28</v>
      </c>
      <c r="C322" t="n">
        <v>0.275</v>
      </c>
    </row>
    <row r="323">
      <c r="A323" t="inlineStr">
        <is>
          <t>17:27</t>
        </is>
      </c>
      <c r="C323" t="n">
        <v>0.275</v>
      </c>
    </row>
    <row r="324">
      <c r="A324" t="inlineStr">
        <is>
          <t>17:37</t>
        </is>
      </c>
      <c r="B324" t="n">
        <v>0.29</v>
      </c>
      <c r="C324" t="n">
        <v>0.28</v>
      </c>
    </row>
    <row r="325">
      <c r="A325" t="inlineStr">
        <is>
          <t>17:46</t>
        </is>
      </c>
      <c r="C325" t="n">
        <v>0.28</v>
      </c>
    </row>
    <row r="326">
      <c r="A326" t="inlineStr">
        <is>
          <t>17:47</t>
        </is>
      </c>
      <c r="C326" t="n">
        <v>0.28</v>
      </c>
    </row>
    <row r="327">
      <c r="A327" t="inlineStr">
        <is>
          <t>17:48</t>
        </is>
      </c>
      <c r="B327" t="n">
        <v>0.29</v>
      </c>
      <c r="C327" t="n">
        <v>0.28</v>
      </c>
    </row>
    <row r="328">
      <c r="A328" t="inlineStr">
        <is>
          <t>17:51</t>
        </is>
      </c>
      <c r="B328" t="n">
        <v>0.29</v>
      </c>
      <c r="C328" t="n">
        <v>0.28</v>
      </c>
    </row>
    <row r="329">
      <c r="A329" t="inlineStr">
        <is>
          <t>17:52</t>
        </is>
      </c>
      <c r="B329" t="n">
        <v>0.29</v>
      </c>
      <c r="C329" t="n">
        <v>0.28</v>
      </c>
    </row>
    <row r="330">
      <c r="A330" t="inlineStr">
        <is>
          <t>17:55</t>
        </is>
      </c>
      <c r="C330" t="n">
        <v>0.285</v>
      </c>
    </row>
    <row r="331">
      <c r="A331" t="inlineStr">
        <is>
          <t>17:56</t>
        </is>
      </c>
      <c r="C331" t="n">
        <v>0.28</v>
      </c>
    </row>
    <row r="332">
      <c r="A332" t="inlineStr">
        <is>
          <t>17:58</t>
        </is>
      </c>
      <c r="C332" t="n">
        <v>0.28</v>
      </c>
    </row>
    <row r="333">
      <c r="A333" t="inlineStr">
        <is>
          <t>17:59</t>
        </is>
      </c>
      <c r="C333" t="n">
        <v>0.28</v>
      </c>
    </row>
    <row r="334">
      <c r="A334" t="inlineStr">
        <is>
          <t>18:01</t>
        </is>
      </c>
      <c r="B334" t="n">
        <v>0.29</v>
      </c>
      <c r="C334" t="n">
        <v>0.28</v>
      </c>
    </row>
    <row r="335">
      <c r="A335" t="inlineStr">
        <is>
          <t>18:04</t>
        </is>
      </c>
      <c r="C335" t="n">
        <v>0.28</v>
      </c>
    </row>
    <row r="336">
      <c r="A336" t="inlineStr">
        <is>
          <t>18:05</t>
        </is>
      </c>
      <c r="B336" t="n">
        <v>0.27</v>
      </c>
      <c r="C336" t="n">
        <v>0.28</v>
      </c>
    </row>
    <row r="337">
      <c r="A337" t="inlineStr">
        <is>
          <t>18:09</t>
        </is>
      </c>
      <c r="C337" t="n">
        <v>0.28</v>
      </c>
    </row>
    <row r="338">
      <c r="A338" t="inlineStr">
        <is>
          <t>18:10</t>
        </is>
      </c>
      <c r="C338" t="n">
        <v>0.28</v>
      </c>
    </row>
    <row r="339">
      <c r="A339" t="inlineStr">
        <is>
          <t>18:15</t>
        </is>
      </c>
      <c r="B339" t="n">
        <v>0.29</v>
      </c>
      <c r="C339" t="n">
        <v>0.28</v>
      </c>
    </row>
    <row r="340">
      <c r="A340" t="inlineStr">
        <is>
          <t>18:16</t>
        </is>
      </c>
      <c r="B340" t="n">
        <v>0.29</v>
      </c>
      <c r="C340" t="n">
        <v>0.28</v>
      </c>
    </row>
    <row r="341">
      <c r="A341" t="inlineStr">
        <is>
          <t>18:18</t>
        </is>
      </c>
      <c r="C341" t="n">
        <v>0.28</v>
      </c>
    </row>
    <row r="342">
      <c r="A342" t="inlineStr">
        <is>
          <t>18:21</t>
        </is>
      </c>
      <c r="B342" t="n">
        <v>0.29</v>
      </c>
      <c r="C342" t="n">
        <v>0.28</v>
      </c>
    </row>
    <row r="343">
      <c r="A343" t="inlineStr">
        <is>
          <t>18:22</t>
        </is>
      </c>
      <c r="C343" t="n">
        <v>0.28</v>
      </c>
    </row>
    <row r="344">
      <c r="A344" t="inlineStr">
        <is>
          <t>18:24</t>
        </is>
      </c>
      <c r="B344" t="n">
        <v>0.29</v>
      </c>
      <c r="C344" t="n">
        <v>0.28</v>
      </c>
    </row>
    <row r="345">
      <c r="A345" t="inlineStr">
        <is>
          <t>18:29</t>
        </is>
      </c>
      <c r="B345" t="n">
        <v>0.27</v>
      </c>
      <c r="C345" t="n">
        <v>0.28</v>
      </c>
    </row>
    <row r="346">
      <c r="A346" t="inlineStr">
        <is>
          <t>18:35</t>
        </is>
      </c>
      <c r="C346" t="n">
        <v>0.285</v>
      </c>
    </row>
    <row r="347">
      <c r="A347" t="inlineStr">
        <is>
          <t>18:36</t>
        </is>
      </c>
      <c r="B347" t="n">
        <v>0.29</v>
      </c>
      <c r="C347" t="n">
        <v>0.285</v>
      </c>
    </row>
    <row r="348">
      <c r="A348" t="inlineStr">
        <is>
          <t>18:37</t>
        </is>
      </c>
      <c r="C348" t="n">
        <v>0.285</v>
      </c>
    </row>
    <row r="349">
      <c r="A349" t="inlineStr">
        <is>
          <t>18:39</t>
        </is>
      </c>
      <c r="B349" t="n">
        <v>0.29</v>
      </c>
      <c r="C349" t="n">
        <v>0.285</v>
      </c>
    </row>
    <row r="350">
      <c r="A350" t="inlineStr">
        <is>
          <t>18:41</t>
        </is>
      </c>
      <c r="B350" t="n">
        <v>0.28</v>
      </c>
      <c r="C350" t="n">
        <v>0.285</v>
      </c>
    </row>
    <row r="351">
      <c r="A351" t="inlineStr">
        <is>
          <t>18:44</t>
        </is>
      </c>
      <c r="C351" t="n">
        <v>0.285</v>
      </c>
    </row>
    <row r="352">
      <c r="A352" t="inlineStr">
        <is>
          <t>18:45</t>
        </is>
      </c>
      <c r="B352" t="n">
        <v>0.29</v>
      </c>
      <c r="C352" t="n">
        <v>0.285</v>
      </c>
    </row>
    <row r="353">
      <c r="A353" t="inlineStr">
        <is>
          <t>18:50</t>
        </is>
      </c>
      <c r="C353" t="n">
        <v>0.285</v>
      </c>
    </row>
    <row r="354">
      <c r="A354" t="inlineStr">
        <is>
          <t>18:53</t>
        </is>
      </c>
      <c r="B354" t="n">
        <v>0.29</v>
      </c>
      <c r="C354" t="n">
        <v>0.285</v>
      </c>
    </row>
    <row r="355">
      <c r="A355" t="inlineStr">
        <is>
          <t>18:57</t>
        </is>
      </c>
      <c r="B355" t="n">
        <v>0.29</v>
      </c>
      <c r="C355" t="n">
        <v>0.285</v>
      </c>
    </row>
    <row r="356">
      <c r="A356" t="inlineStr">
        <is>
          <t>18:58</t>
        </is>
      </c>
      <c r="C356" t="n">
        <v>0.285</v>
      </c>
    </row>
    <row r="357">
      <c r="A357" t="inlineStr">
        <is>
          <t>19:02</t>
        </is>
      </c>
      <c r="B357" t="n">
        <v>0.29</v>
      </c>
      <c r="C357" t="n">
        <v>0.285</v>
      </c>
    </row>
    <row r="358">
      <c r="A358" t="inlineStr">
        <is>
          <t>19:05</t>
        </is>
      </c>
      <c r="B358" t="n">
        <v>0.29</v>
      </c>
      <c r="C358" t="n">
        <v>0.285</v>
      </c>
    </row>
    <row r="359">
      <c r="A359" t="inlineStr">
        <is>
          <t>19:06</t>
        </is>
      </c>
      <c r="C359" t="n">
        <v>0.285</v>
      </c>
    </row>
    <row r="360">
      <c r="A360" t="inlineStr">
        <is>
          <t>19:15</t>
        </is>
      </c>
      <c r="B360" t="n">
        <v>0.29</v>
      </c>
      <c r="C360" t="n">
        <v>0.285</v>
      </c>
    </row>
    <row r="361">
      <c r="A361" t="inlineStr">
        <is>
          <t>19:17</t>
        </is>
      </c>
      <c r="B361" t="n">
        <v>0.29</v>
      </c>
      <c r="C361" t="n">
        <v>0.285</v>
      </c>
    </row>
    <row r="362">
      <c r="A362" t="inlineStr">
        <is>
          <t>19:20</t>
        </is>
      </c>
      <c r="C362" t="n">
        <v>0.285</v>
      </c>
    </row>
    <row r="363">
      <c r="A363" t="inlineStr">
        <is>
          <t>19:21</t>
        </is>
      </c>
      <c r="B363" t="n">
        <v>0.29</v>
      </c>
      <c r="C363" t="n">
        <v>0.285</v>
      </c>
    </row>
    <row r="364">
      <c r="A364" t="inlineStr">
        <is>
          <t>19:22</t>
        </is>
      </c>
      <c r="C364" t="n">
        <v>0.285</v>
      </c>
    </row>
    <row r="365">
      <c r="A365" t="inlineStr">
        <is>
          <t>19:36</t>
        </is>
      </c>
      <c r="C365" t="n">
        <v>0.285</v>
      </c>
    </row>
    <row r="366">
      <c r="A366" t="inlineStr">
        <is>
          <t>19:39</t>
        </is>
      </c>
      <c r="C366" t="n">
        <v>0.285</v>
      </c>
    </row>
    <row r="367">
      <c r="A367" t="inlineStr">
        <is>
          <t>19:46</t>
        </is>
      </c>
      <c r="B367" t="n">
        <v>0.28</v>
      </c>
      <c r="C367" t="n">
        <v>0.285</v>
      </c>
    </row>
    <row r="368">
      <c r="A368" t="inlineStr">
        <is>
          <t>19:49</t>
        </is>
      </c>
      <c r="C368" t="n">
        <v>0.285</v>
      </c>
    </row>
    <row r="369">
      <c r="A369" t="inlineStr">
        <is>
          <t>19:50</t>
        </is>
      </c>
      <c r="B369" t="n">
        <v>0.29</v>
      </c>
      <c r="C369" t="n">
        <v>0.285</v>
      </c>
    </row>
    <row r="370">
      <c r="A370" t="inlineStr">
        <is>
          <t>19:52</t>
        </is>
      </c>
      <c r="B370" t="n">
        <v>0.29</v>
      </c>
      <c r="C370" t="n">
        <v>0.285</v>
      </c>
    </row>
    <row r="371">
      <c r="A371" t="inlineStr">
        <is>
          <t>19:54</t>
        </is>
      </c>
      <c r="B371" t="n">
        <v>0.29</v>
      </c>
      <c r="C371" t="n">
        <v>0.285</v>
      </c>
    </row>
    <row r="372">
      <c r="A372" t="inlineStr">
        <is>
          <t>19:56</t>
        </is>
      </c>
      <c r="B372" t="n">
        <v>0.3</v>
      </c>
      <c r="C372" t="n">
        <v>0.285</v>
      </c>
    </row>
    <row r="373">
      <c r="A373" t="inlineStr">
        <is>
          <t>19:57</t>
        </is>
      </c>
      <c r="C373" t="n">
        <v>0.285</v>
      </c>
    </row>
    <row r="374">
      <c r="A374" t="inlineStr">
        <is>
          <t>19:59</t>
        </is>
      </c>
      <c r="C374" t="n">
        <v>0.285</v>
      </c>
    </row>
    <row r="375">
      <c r="A375" t="inlineStr">
        <is>
          <t>20:00</t>
        </is>
      </c>
      <c r="B375" t="n">
        <v>0.28</v>
      </c>
      <c r="C375" t="n">
        <v>0.285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Item</t>
        </is>
      </c>
      <c r="B1" s="1" t="inlineStr">
        <is>
          <t>Source</t>
        </is>
      </c>
      <c r="C1" s="1" t="inlineStr">
        <is>
          <t>Class</t>
        </is>
      </c>
      <c r="D1" s="1" t="inlineStr">
        <is>
          <t>Time</t>
        </is>
      </c>
    </row>
    <row r="2">
      <c r="A2" t="inlineStr">
        <is>
          <t>实际值</t>
        </is>
      </c>
      <c r="B2" t="inlineStr">
        <is>
          <t>Census MARTS advance (CB26-165) Table 1 SA levels via FRED; control group = total − autos(441) − gas(447) − building(444) − food services(722), OS-calculated</t>
        </is>
      </c>
      <c r="C2" t="inlineStr">
        <is>
          <t>官方 / OS 计算</t>
        </is>
      </c>
      <c r="D2" t="inlineStr">
        <is>
          <t>2026-10-15 20:30 SGT</t>
        </is>
      </c>
    </row>
    <row r="3">
      <c r="A3" t="inlineStr">
        <is>
          <t>共识（锁定）</t>
        </is>
      </c>
      <c r="B3" t="inlineStr">
        <is>
          <t>investingLive via Admiral 2026-10-14; Action Economics survey median 2026-10-13</t>
        </is>
      </c>
      <c r="C3" t="inlineStr">
        <is>
          <t>MARKET EXP（锁定于 2026-10-15T18:05）</t>
        </is>
      </c>
      <c r="D3" t="inlineStr">
        <is>
          <t>v20261015-1805</t>
        </is>
      </c>
    </row>
    <row r="4">
      <c r="A4" t="inlineStr">
        <is>
          <t>备选共识（未锁定，仅对照）</t>
        </is>
      </c>
      <c r="B4" t="inlineStr">
        <is>
          <t>Dow Jones via CNBC 10/15: 零售总额 +0.4%</t>
        </is>
      </c>
      <c r="C4" t="inlineStr">
        <is>
          <t>MARKET EXP（第二来源）</t>
        </is>
      </c>
      <c r="D4" t="inlineStr">
        <is>
          <t>CNBC 2026-10-15 08:32 ET</t>
        </is>
      </c>
    </row>
    <row r="5">
      <c r="A5" t="inlineStr">
        <is>
          <t>利率路径</t>
        </is>
      </c>
      <c r="B5" t="inlineStr">
        <is>
          <t>yfinance 1m ^TNX ^FVX ZT=F（2Y 由期货估算：ΔP÷0.0194）</t>
        </is>
      </c>
      <c r="C5" t="inlineStr">
        <is>
          <t>DATA / ESTIMATE</t>
        </is>
      </c>
      <c r="D5" t="inlineStr">
        <is>
          <t>2026-10-15 ET</t>
        </is>
      </c>
    </row>
    <row r="6">
      <c r="A6" t="inlineStr">
        <is>
          <t>2Y/10Y 现货</t>
        </is>
      </c>
      <c r="B6" t="inlineStr">
        <is>
          <t>CNBC quote webservice（Tradeweb）</t>
        </is>
      </c>
      <c r="C6" t="inlineStr">
        <is>
          <t>DATA</t>
        </is>
      </c>
      <c r="D6" t="inlineStr">
        <is>
          <t>20:00 ET</t>
        </is>
      </c>
    </row>
    <row r="7">
      <c r="A7" t="inlineStr">
        <is>
          <t>Kalshi</t>
        </is>
      </c>
      <c r="B7" t="inlineStr">
        <is>
          <t>api.elections.kalshi.com 公共 API：KXFEDDECISION-26OCT/26DEC 1 分钟K线</t>
        </is>
      </c>
      <c r="C7" t="inlineStr">
        <is>
          <t>MARKET-IMPLIED</t>
        </is>
      </c>
      <c r="D7" t="inlineStr">
        <is>
          <t>2026-10-16 08:00 SGT</t>
        </is>
      </c>
    </row>
    <row r="8">
      <c r="A8" t="inlineStr">
        <is>
          <t>个股/指数/外汇</t>
        </is>
      </c>
      <c r="B8" t="inlineStr">
        <is>
          <t>yfinance 1m prepost + 1d</t>
        </is>
      </c>
      <c r="C8" t="inlineStr">
        <is>
          <t>DATA</t>
        </is>
      </c>
      <c r="D8" t="inlineStr">
        <is>
          <t>20:01 ET</t>
        </is>
      </c>
    </row>
    <row r="9">
      <c r="A9" t="inlineStr">
        <is>
          <t>基础概率</t>
        </is>
      </c>
      <c r="B9" t="inlineStr">
        <is>
          <t>锁定事前书：FRED RSAFS 过去 36 个月总额环比（≤0.0 / 0.1–0.6 / ≥0.7）</t>
        </is>
      </c>
      <c r="C9" t="inlineStr">
        <is>
          <t>CALC</t>
        </is>
      </c>
      <c r="D9" t="inlineStr">
        <is>
          <t>本次运行</t>
        </is>
      </c>
    </row>
    <row r="10">
      <c r="A10" t="inlineStr">
        <is>
          <t>背景新闻</t>
        </is>
      </c>
      <c r="B10" t="inlineStr">
        <is>
          <t>CNBC（PPI/零售、美债、美元 10/15）、Reuters/Investing.com（科技股抛售、TSMC 业绩）、WSJ（美债三周低点）</t>
        </is>
      </c>
      <c r="C10" t="inlineStr">
        <is>
          <t>NEWS（二手）</t>
        </is>
      </c>
      <c r="D10" t="inlineStr">
        <is>
          <t>2026-10-15</t>
        </is>
      </c>
    </row>
    <row r="11">
      <c r="A11" t="inlineStr">
        <is>
          <t>同日数据</t>
        </is>
      </c>
      <c r="B11" t="inlineStr">
        <is>
          <t>DOL 初请（AP/investingLive）、Philly Fed MBOS（官网）、Empire（investingLive）</t>
        </is>
      </c>
      <c r="C11" t="inlineStr">
        <is>
          <t>FACT / NEWS</t>
        </is>
      </c>
      <c r="D11" t="inlineStr">
        <is>
          <t>2026-10-15 08:30 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No.</t>
        </is>
      </c>
      <c r="B1" s="1" t="inlineStr">
        <is>
          <t>Assumption</t>
        </is>
      </c>
      <c r="C1" s="1" t="inlineStr">
        <is>
          <t>Type</t>
        </is>
      </c>
      <c r="D1" s="1" t="inlineStr">
        <is>
          <t>Test / failure</t>
        </is>
      </c>
    </row>
    <row r="2">
      <c r="A2" t="n">
        <v>1</v>
      </c>
      <c r="B2" t="inlineStr">
        <is>
          <t>事前锁定共识可作为意外基准（不事后换成更有利的 Dow Jones 共识）</t>
        </is>
      </c>
      <c r="C2" t="inlineStr">
        <is>
          <t>RULE</t>
        </is>
      </c>
      <c r="D2" t="inlineStr">
        <is>
          <t>两套共识方向一致才下结论</t>
        </is>
      </c>
    </row>
    <row r="3">
      <c r="A3" t="n">
        <v>2</v>
      </c>
      <c r="B3" t="inlineStr">
        <is>
          <t>08:29→09:15 ET 的变化≈数据本身的影响（同秒多份数据，无法完全拆开）</t>
        </is>
      </c>
      <c r="C3" t="inlineStr">
        <is>
          <t>ASSUMPTION</t>
        </is>
      </c>
      <c r="D3" t="inlineStr">
        <is>
          <t>若同窗口有 Fed 讲话/大新闻则失效</t>
        </is>
      </c>
    </row>
    <row r="4">
      <c r="A4" t="n">
        <v>3</v>
      </c>
      <c r="B4" t="inlineStr">
        <is>
          <t>2Y 由 ZT 期货价格变动 ÷0.0194/bp 估算</t>
        </is>
      </c>
      <c r="C4" t="inlineStr">
        <is>
          <t>ESTIMATE</t>
        </is>
      </c>
      <c r="D4" t="inlineStr">
        <is>
          <t>与 CNBC 现货差 &gt;3bp 时以现货为准</t>
        </is>
      </c>
    </row>
    <row r="5">
      <c r="A5" t="n">
        <v>4</v>
      </c>
      <c r="B5" t="inlineStr">
        <is>
          <t>Kalshi 中间价≈市场概率</t>
        </is>
      </c>
      <c r="C5" t="inlineStr">
        <is>
          <t>ASSUMPTION</t>
        </is>
      </c>
      <c r="D5" t="inlineStr">
        <is>
          <t>价差 &gt;5c 或成交稀薄时不可靠</t>
        </is>
      </c>
    </row>
    <row r="6">
      <c r="A6" t="n">
        <v>5</v>
      </c>
      <c r="B6" t="inlineStr">
        <is>
          <t>基础概率代表「无信息」先验</t>
        </is>
      </c>
      <c r="C6" t="inlineStr">
        <is>
          <t>ASSUMPTION</t>
        </is>
      </c>
      <c r="D6" t="inlineStr">
        <is>
          <t>体制切换（能源冲击/战争）时需用条件基础概率</t>
        </is>
      </c>
    </row>
    <row r="7">
      <c r="A7" t="n">
        <v>6</v>
      </c>
      <c r="B7" t="inlineStr">
        <is>
          <t>控制组 = 总额 − 汽车 − 加油站 − 建材 − 餐饮（Census 不直接公布）</t>
        </is>
      </c>
      <c r="C7" t="inlineStr">
        <is>
          <t>CALC</t>
        </is>
      </c>
      <c r="D7" t="inlineStr">
        <is>
          <t>与 BEA/媒体口径差 &gt;0.1pp 时注明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2026-10-16T00:01:10Z</dcterms:created>
  <dcterms:modified xmlns:dcterms="http://purl.org/dc/terms/" xmlns:xsi="http://www.w3.org/2001/XMLSchema-instance" xsi:type="dcterms:W3CDTF">2026-10-16T00:01:10Z</dcterms:modified>
</cp:coreProperties>
</file>