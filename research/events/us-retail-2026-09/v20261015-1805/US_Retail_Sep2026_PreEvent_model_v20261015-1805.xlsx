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sensu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LiveChecklist" sheetId="4" state="visible" r:id="rId4"/>
    <sheet xmlns:r="http://schemas.openxmlformats.org/officeDocument/2006/relationships" name="History_RSAFS" sheetId="5" state="visible" r:id="rId5"/>
    <sheet xmlns:r="http://schemas.openxmlformats.org/officeDocument/2006/relationships" name="SourceLedger" sheetId="6" state="visible" r:id="rId6"/>
    <sheet xmlns:r="http://schemas.openxmlformats.org/officeDocument/2006/relationships" name="AssumptionRegister" sheetId="7" state="visible" r:id="rId7"/>
    <sheet xmlns:r="http://schemas.openxmlformats.org/officeDocument/2006/relationships" name="ModelProven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AF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 Retail Sales Sep 2026 Pre-Event Model v20261015-1805</t>
        </is>
      </c>
    </row>
    <row r="2">
      <c r="A2" t="inlineStr">
        <is>
          <t>Release Thu 2026-10-15 08:30 ET = 20:30 SGT. Yellow=ASSUMPTION/input, Blue=DATA. Fill Actual in LiveChecklist col E; formulas compute surprise &amp; scenario.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Aug prior</t>
        </is>
      </c>
      <c r="C1" s="1" t="inlineStr">
        <is>
          <t>Consensus</t>
        </is>
      </c>
      <c r="D1" s="1" t="inlineStr">
        <is>
          <t>Source</t>
        </is>
      </c>
      <c r="E1" s="1" t="inlineStr">
        <is>
          <t>OS hypothesis</t>
        </is>
      </c>
      <c r="F1" s="1" t="inlineStr">
        <is>
          <t>OS - Cons</t>
        </is>
      </c>
    </row>
    <row r="2">
      <c r="A2" t="inlineStr">
        <is>
          <t>Headline MoM %</t>
        </is>
      </c>
      <c r="B2" s="2" t="n">
        <v>1.13</v>
      </c>
      <c r="C2" s="3" t="n">
        <v>0.3</v>
      </c>
      <c r="D2" t="inlineStr">
        <is>
          <t>investingLive/Action Econ</t>
        </is>
      </c>
      <c r="E2" s="3" t="n">
        <v>0.2</v>
      </c>
      <c r="F2">
        <f>E2-C2</f>
        <v/>
      </c>
    </row>
    <row r="3">
      <c r="A3" t="inlineStr">
        <is>
          <t>Ex-auto MoM %</t>
        </is>
      </c>
      <c r="B3" s="2" t="n">
        <v>1.28</v>
      </c>
      <c r="C3" s="3" t="n">
        <v>0.5</v>
      </c>
      <c r="D3" t="inlineStr">
        <is>
          <t>investingLive/Action Econ</t>
        </is>
      </c>
      <c r="E3" s="3" t="n">
        <v>0.4</v>
      </c>
      <c r="F3">
        <f>E3-C3</f>
        <v/>
      </c>
    </row>
    <row r="4">
      <c r="A4" t="inlineStr">
        <is>
          <t>Control MoM %</t>
        </is>
      </c>
      <c r="B4" s="2" t="n">
        <v>1.2</v>
      </c>
      <c r="C4" s="3" t="n">
        <v>0.3</v>
      </c>
      <c r="D4" t="inlineStr">
        <is>
          <t>Action Econ survey median</t>
        </is>
      </c>
      <c r="E4" s="3" t="n">
        <v>0</v>
      </c>
      <c r="F4">
        <f>E4-C4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Threshold</t>
        </is>
      </c>
      <c r="C1" s="1" t="inlineStr">
        <is>
          <t>Raw prob</t>
        </is>
      </c>
      <c r="D1" s="1" t="inlineStr">
        <is>
          <t>Base rate</t>
        </is>
      </c>
      <c r="E1" s="1" t="inlineStr">
        <is>
          <t>Calibrated prob</t>
        </is>
      </c>
      <c r="F1" s="1" t="inlineStr">
        <is>
          <t>Headline midpoint %</t>
        </is>
      </c>
      <c r="G1" s="1" t="inlineStr">
        <is>
          <t>2Y bp mid</t>
        </is>
      </c>
      <c r="H1" s="1" t="inlineStr">
        <is>
          <t>NDX % mid</t>
        </is>
      </c>
    </row>
    <row r="2">
      <c r="A2" t="inlineStr">
        <is>
          <t>weak</t>
        </is>
      </c>
      <c r="B2" t="inlineStr">
        <is>
          <t>H&lt;=0.0 or Ctrl&lt;=-0.2</t>
        </is>
      </c>
      <c r="C2" s="3" t="n">
        <v>0.25</v>
      </c>
      <c r="D2" t="n">
        <v>0.3333333333333333</v>
      </c>
      <c r="E2" t="n">
        <v>0.25</v>
      </c>
      <c r="F2" s="3" t="n">
        <v>-0.2</v>
      </c>
      <c r="G2" s="3" t="n">
        <v>-6</v>
      </c>
      <c r="H2" s="3" t="n">
        <v>0</v>
      </c>
    </row>
    <row r="3">
      <c r="A3" t="inlineStr">
        <is>
          <t>inline</t>
        </is>
      </c>
      <c r="B3" t="inlineStr">
        <is>
          <t>H 0.1-0.6</t>
        </is>
      </c>
      <c r="C3" s="3" t="n">
        <v>0.55</v>
      </c>
      <c r="D3" t="n">
        <v>0.3611111111111112</v>
      </c>
      <c r="E3" t="n">
        <v>0.55</v>
      </c>
      <c r="F3" s="3" t="n">
        <v>0.3</v>
      </c>
      <c r="G3" s="3" t="n">
        <v>0</v>
      </c>
      <c r="H3" s="3" t="n">
        <v>0</v>
      </c>
    </row>
    <row r="4">
      <c r="A4" t="inlineStr">
        <is>
          <t>strong</t>
        </is>
      </c>
      <c r="B4" t="inlineStr">
        <is>
          <t>H&gt;=0.7 or Ctrl&gt;=0.6</t>
        </is>
      </c>
      <c r="C4" s="3" t="n">
        <v>0.2</v>
      </c>
      <c r="D4" t="n">
        <v>0.3055555555555556</v>
      </c>
      <c r="E4" t="n">
        <v>0.2</v>
      </c>
      <c r="F4" s="3" t="n">
        <v>0.9</v>
      </c>
      <c r="G4" s="3" t="n">
        <v>6</v>
      </c>
      <c r="H4" s="3" t="n">
        <v>-1</v>
      </c>
    </row>
    <row r="5">
      <c r="A5" t="inlineStr">
        <is>
          <t>Prob-weighted</t>
        </is>
      </c>
      <c r="B5" t="inlineStr"/>
      <c r="C5">
        <f>SUM(C2:C4)</f>
        <v/>
      </c>
      <c r="D5" t="inlineStr"/>
      <c r="E5">
        <f>SUM(E2:E4)</f>
        <v/>
      </c>
      <c r="F5">
        <f>SUMPRODUCT(E2:E4,F2:F4)</f>
        <v/>
      </c>
      <c r="G5">
        <f>SUMPRODUCT(E2:E4,G2:G4)</f>
        <v/>
      </c>
      <c r="H5">
        <f>SUMPRODUCT(E2:E4,H2:H4)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Weak&lt;=</t>
        </is>
      </c>
      <c r="D1" s="1" t="inlineStr">
        <is>
          <t>Strong&gt;=</t>
        </is>
      </c>
      <c r="E1" s="1" t="inlineStr">
        <is>
          <t>Actual (fill)</t>
        </is>
      </c>
      <c r="F1" s="1" t="inlineStr">
        <is>
          <t>Surprise vs cons</t>
        </is>
      </c>
      <c r="G1" s="1" t="inlineStr">
        <is>
          <t>Scenario</t>
        </is>
      </c>
      <c r="H1" s="1" t="inlineStr">
        <is>
          <t>Consensus</t>
        </is>
      </c>
    </row>
    <row r="2">
      <c r="A2" t="n">
        <v>1</v>
      </c>
      <c r="B2" t="inlineStr">
        <is>
          <t>Control MoM %</t>
        </is>
      </c>
      <c r="C2" t="n">
        <v>-0.2</v>
      </c>
      <c r="D2" t="n">
        <v>0.6</v>
      </c>
      <c r="E2" s="3" t="n"/>
      <c r="F2">
        <f>IF(E2="","",E2-H2)</f>
        <v/>
      </c>
      <c r="G2">
        <f>IF(E2="","",IF(E2&lt;=C2,"Weak",IF(E2&gt;=D2,"Strong","Inline")))</f>
        <v/>
      </c>
      <c r="H2" t="n">
        <v>0.3</v>
      </c>
    </row>
    <row r="3">
      <c r="A3" t="n">
        <v>2</v>
      </c>
      <c r="B3" t="inlineStr">
        <is>
          <t>Headline MoM %</t>
        </is>
      </c>
      <c r="C3" t="n">
        <v>0</v>
      </c>
      <c r="D3" t="n">
        <v>0.7</v>
      </c>
      <c r="E3" s="3" t="n"/>
      <c r="F3">
        <f>IF(E3="","",E3-H3)</f>
        <v/>
      </c>
      <c r="G3">
        <f>IF(E3="","",IF(E3&lt;=C3,"Weak",IF(E3&gt;=D3,"Strong","Inline")))</f>
        <v/>
      </c>
      <c r="H3" t="n">
        <v>0.3</v>
      </c>
    </row>
    <row r="4">
      <c r="A4" t="n">
        <v>3</v>
      </c>
      <c r="B4" t="inlineStr">
        <is>
          <t>Ex-auto MoM %</t>
        </is>
      </c>
      <c r="C4" t="n">
        <v>0.1</v>
      </c>
      <c r="D4" t="n">
        <v>0.9</v>
      </c>
      <c r="E4" s="3" t="n"/>
      <c r="F4">
        <f>IF(E4="","",E4-H4)</f>
        <v/>
      </c>
      <c r="G4">
        <f>IF(E4="","",IF(E4&lt;=C4,"Weak",IF(E4&gt;=D4,"Strong","Inline")))</f>
        <v/>
      </c>
      <c r="H4" t="n">
        <v>0.5</v>
      </c>
    </row>
    <row r="5">
      <c r="A5" t="n">
        <v>4</v>
      </c>
      <c r="B5" t="inlineStr">
        <is>
          <t>Aug revision pp</t>
        </is>
      </c>
      <c r="C5" t="n">
        <v>-0.3</v>
      </c>
      <c r="D5" t="n">
        <v>0.3</v>
      </c>
      <c r="E5" s="3" t="n"/>
      <c r="F5">
        <f>IF(E5="","",E5-H5)</f>
        <v/>
      </c>
      <c r="G5">
        <f>IF(E5="","",IF(E5&lt;=C5,"Weak",IF(E5&gt;=D5,"Strong","Inline")))</f>
        <v/>
      </c>
      <c r="H5" t="n">
        <v>0</v>
      </c>
    </row>
    <row r="6">
      <c r="A6" t="n">
        <v>5</v>
      </c>
      <c r="B6" t="inlineStr">
        <is>
          <t>2Y first 15m bp</t>
        </is>
      </c>
      <c r="C6" t="n">
        <v>-4</v>
      </c>
      <c r="D6" t="n">
        <v>4</v>
      </c>
      <c r="E6" s="3" t="n"/>
      <c r="F6">
        <f>IF(E6="","",E6-H6)</f>
        <v/>
      </c>
      <c r="G6">
        <f>IF(E6="","",IF(E6&lt;=C6,"Weak",IF(E6&gt;=D6,"Strong","Inline")))</f>
        <v/>
      </c>
      <c r="H6" t="n">
        <v>0</v>
      </c>
    </row>
    <row r="7">
      <c r="A7" t="n">
        <v>6</v>
      </c>
      <c r="B7" t="inlineStr">
        <is>
          <t>Initial claims k</t>
        </is>
      </c>
      <c r="C7" t="n">
        <v>215</v>
      </c>
      <c r="D7" t="n">
        <v>190</v>
      </c>
      <c r="E7" s="3" t="n"/>
      <c r="F7">
        <f>IF(E7="","",E7-H7)</f>
        <v/>
      </c>
      <c r="G7">
        <f>IF(E7="","",IF(E7&gt;=C7,"Weak",IF(E7&lt;=D7,"Strong","Inline")))</f>
        <v/>
      </c>
      <c r="H7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RSAFS $m</t>
        </is>
      </c>
      <c r="C1" s="1" t="inlineStr">
        <is>
          <t>MoM %</t>
        </is>
      </c>
    </row>
    <row r="2">
      <c r="A2" t="inlineStr">
        <is>
          <t>2024-08</t>
        </is>
      </c>
      <c r="B2" s="2" t="n">
        <v>670668</v>
      </c>
      <c r="C2" s="4" t="n"/>
    </row>
    <row r="3">
      <c r="A3" t="inlineStr">
        <is>
          <t>2024-09</t>
        </is>
      </c>
      <c r="B3" s="2" t="n">
        <v>676005</v>
      </c>
      <c r="C3" s="4">
        <f>B3/B2-1</f>
        <v/>
      </c>
    </row>
    <row r="4">
      <c r="A4" t="inlineStr">
        <is>
          <t>2024-10</t>
        </is>
      </c>
      <c r="B4" s="2" t="n">
        <v>681808</v>
      </c>
      <c r="C4" s="4">
        <f>B4/B3-1</f>
        <v/>
      </c>
    </row>
    <row r="5">
      <c r="A5" t="inlineStr">
        <is>
          <t>2024-11</t>
        </is>
      </c>
      <c r="B5" s="2" t="n">
        <v>685709</v>
      </c>
      <c r="C5" s="4">
        <f>B5/B4-1</f>
        <v/>
      </c>
    </row>
    <row r="6">
      <c r="A6" t="inlineStr">
        <is>
          <t>2024-12</t>
        </is>
      </c>
      <c r="B6" s="2" t="n">
        <v>691794</v>
      </c>
      <c r="C6" s="4">
        <f>B6/B5-1</f>
        <v/>
      </c>
    </row>
    <row r="7">
      <c r="A7" t="inlineStr">
        <is>
          <t>2025-01</t>
        </is>
      </c>
      <c r="B7" s="2" t="n">
        <v>687058</v>
      </c>
      <c r="C7" s="4">
        <f>B7/B6-1</f>
        <v/>
      </c>
    </row>
    <row r="8">
      <c r="A8" t="inlineStr">
        <is>
          <t>2025-02</t>
        </is>
      </c>
      <c r="B8" s="2" t="n">
        <v>683772</v>
      </c>
      <c r="C8" s="4">
        <f>B8/B7-1</f>
        <v/>
      </c>
    </row>
    <row r="9">
      <c r="A9" t="inlineStr">
        <is>
          <t>2025-03</t>
        </is>
      </c>
      <c r="B9" s="2" t="n">
        <v>694750</v>
      </c>
      <c r="C9" s="4">
        <f>B9/B8-1</f>
        <v/>
      </c>
    </row>
    <row r="10">
      <c r="A10" t="inlineStr">
        <is>
          <t>2025-04</t>
        </is>
      </c>
      <c r="B10" s="2" t="n">
        <v>695464</v>
      </c>
      <c r="C10" s="4">
        <f>B10/B9-1</f>
        <v/>
      </c>
    </row>
    <row r="11">
      <c r="A11" t="inlineStr">
        <is>
          <t>2025-05</t>
        </is>
      </c>
      <c r="B11" s="2" t="n">
        <v>685488</v>
      </c>
      <c r="C11" s="4">
        <f>B11/B10-1</f>
        <v/>
      </c>
    </row>
    <row r="12">
      <c r="A12" t="inlineStr">
        <is>
          <t>2025-06</t>
        </is>
      </c>
      <c r="B12" s="2" t="n">
        <v>691883</v>
      </c>
      <c r="C12" s="4">
        <f>B12/B11-1</f>
        <v/>
      </c>
    </row>
    <row r="13">
      <c r="A13" t="inlineStr">
        <is>
          <t>2025-07</t>
        </is>
      </c>
      <c r="B13" s="2" t="n">
        <v>698280</v>
      </c>
      <c r="C13" s="4">
        <f>B13/B12-1</f>
        <v/>
      </c>
    </row>
    <row r="14">
      <c r="A14" t="inlineStr">
        <is>
          <t>2025-08</t>
        </is>
      </c>
      <c r="B14" s="2" t="n">
        <v>700218</v>
      </c>
      <c r="C14" s="4">
        <f>B14/B13-1</f>
        <v/>
      </c>
    </row>
    <row r="15">
      <c r="A15" t="inlineStr">
        <is>
          <t>2025-09</t>
        </is>
      </c>
      <c r="B15" s="2" t="n">
        <v>701453</v>
      </c>
      <c r="C15" s="4">
        <f>B15/B14-1</f>
        <v/>
      </c>
    </row>
    <row r="16">
      <c r="A16" t="inlineStr">
        <is>
          <t>2025-10</t>
        </is>
      </c>
      <c r="B16" s="2" t="n">
        <v>700790</v>
      </c>
      <c r="C16" s="4">
        <f>B16/B15-1</f>
        <v/>
      </c>
    </row>
    <row r="17">
      <c r="A17" t="inlineStr">
        <is>
          <t>2025-11</t>
        </is>
      </c>
      <c r="B17" s="2" t="n">
        <v>705453</v>
      </c>
      <c r="C17" s="4">
        <f>B17/B16-1</f>
        <v/>
      </c>
    </row>
    <row r="18">
      <c r="A18" t="inlineStr">
        <is>
          <t>2025-12</t>
        </is>
      </c>
      <c r="B18" s="2" t="n">
        <v>706264</v>
      </c>
      <c r="C18" s="4">
        <f>B18/B17-1</f>
        <v/>
      </c>
    </row>
    <row r="19">
      <c r="A19" t="inlineStr">
        <is>
          <t>2026-01</t>
        </is>
      </c>
      <c r="B19" s="2" t="n">
        <v>701860</v>
      </c>
      <c r="C19" s="4">
        <f>B19/B18-1</f>
        <v/>
      </c>
    </row>
    <row r="20">
      <c r="A20" t="inlineStr">
        <is>
          <t>2026-02</t>
        </is>
      </c>
      <c r="B20" s="2" t="n">
        <v>707959</v>
      </c>
      <c r="C20" s="4">
        <f>B20/B19-1</f>
        <v/>
      </c>
    </row>
    <row r="21">
      <c r="A21" t="inlineStr">
        <is>
          <t>2026-03</t>
        </is>
      </c>
      <c r="B21" s="2" t="n">
        <v>719700</v>
      </c>
      <c r="C21" s="4">
        <f>B21/B20-1</f>
        <v/>
      </c>
    </row>
    <row r="22">
      <c r="A22" t="inlineStr">
        <is>
          <t>2026-04</t>
        </is>
      </c>
      <c r="B22" s="2" t="n">
        <v>723921</v>
      </c>
      <c r="C22" s="4">
        <f>B22/B21-1</f>
        <v/>
      </c>
    </row>
    <row r="23">
      <c r="A23" t="inlineStr">
        <is>
          <t>2026-05</t>
        </is>
      </c>
      <c r="B23" s="2" t="n">
        <v>731415</v>
      </c>
      <c r="C23" s="4">
        <f>B23/B22-1</f>
        <v/>
      </c>
    </row>
    <row r="24">
      <c r="A24" t="inlineStr">
        <is>
          <t>2026-06</t>
        </is>
      </c>
      <c r="B24" s="2" t="n">
        <v>732898</v>
      </c>
      <c r="C24" s="4">
        <f>B24/B23-1</f>
        <v/>
      </c>
    </row>
    <row r="25">
      <c r="A25" t="inlineStr">
        <is>
          <t>2026-07</t>
        </is>
      </c>
      <c r="B25" s="2" t="n">
        <v>729538</v>
      </c>
      <c r="C25" s="4">
        <f>B25/B24-1</f>
        <v/>
      </c>
    </row>
    <row r="26">
      <c r="A26" t="inlineStr">
        <is>
          <t>2026-08</t>
        </is>
      </c>
      <c r="B26" s="2" t="n">
        <v>737763</v>
      </c>
      <c r="C26" s="4">
        <f>B26/B25-1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Date</t>
        </is>
      </c>
      <c r="C1" s="1" t="inlineStr">
        <is>
          <t>Use</t>
        </is>
      </c>
      <c r="D1" s="1" t="inlineStr">
        <is>
          <t>Class</t>
        </is>
      </c>
    </row>
    <row r="2">
      <c r="A2" t="inlineStr">
        <is>
          <t>census.gov retail release schedule</t>
        </is>
      </c>
      <c r="B2" t="inlineStr">
        <is>
          <t>2026-10-15</t>
        </is>
      </c>
      <c r="C2" t="inlineStr">
        <is>
          <t>CONFIRMED 10/15 08:30 ET</t>
        </is>
      </c>
      <c r="D2" t="inlineStr">
        <is>
          <t>FACT</t>
        </is>
      </c>
    </row>
    <row r="3">
      <c r="A3" t="inlineStr">
        <is>
          <t>Admiral Markets / investingLive</t>
        </is>
      </c>
      <c r="B3" t="inlineStr">
        <is>
          <t>2026-10-14</t>
        </is>
      </c>
      <c r="C3" t="inlineStr">
        <is>
          <t>0.3/0.5</t>
        </is>
      </c>
      <c r="D3" t="inlineStr">
        <is>
          <t>MARKET EXP</t>
        </is>
      </c>
    </row>
    <row r="4">
      <c r="A4" t="inlineStr">
        <is>
          <t>Action Economics survey</t>
        </is>
      </c>
      <c r="B4" t="inlineStr">
        <is>
          <t>2026-10-13</t>
        </is>
      </c>
      <c r="C4" t="inlineStr">
        <is>
          <t>median 0.3/0.5/0.3; own 0.1/0.3/-0.1</t>
        </is>
      </c>
      <c r="D4" t="inlineStr">
        <is>
          <t>MARKET EXP+Analyst</t>
        </is>
      </c>
    </row>
    <row r="5">
      <c r="A5" t="inlineStr">
        <is>
          <t>Continuum Economics</t>
        </is>
      </c>
      <c r="B5" t="inlineStr">
        <is>
          <t>2026-10-14</t>
        </is>
      </c>
      <c r="C5" t="inlineStr">
        <is>
          <t>0.1/0.4/ex a&amp;g -0.1</t>
        </is>
      </c>
      <c r="D5" t="inlineStr">
        <is>
          <t>Analyst</t>
        </is>
      </c>
    </row>
    <row r="6">
      <c r="A6" t="inlineStr">
        <is>
          <t>Wells Fargo</t>
        </is>
      </c>
      <c r="B6" t="inlineStr">
        <is>
          <t>2026-10-09</t>
        </is>
      </c>
      <c r="C6" t="inlineStr">
        <is>
          <t>0.4</t>
        </is>
      </c>
      <c r="D6" t="inlineStr">
        <is>
          <t>Analyst</t>
        </is>
      </c>
    </row>
    <row r="7">
      <c r="A7" t="inlineStr">
        <is>
          <t>ITC G10 calendar</t>
        </is>
      </c>
      <c r="B7" t="inlineStr">
        <is>
          <t>2026-10-15</t>
        </is>
      </c>
      <c r="C7" t="inlineStr">
        <is>
          <t>claims/Philly/Empire cons</t>
        </is>
      </c>
      <c r="D7" t="inlineStr">
        <is>
          <t>MARKET EXP</t>
        </is>
      </c>
    </row>
    <row r="8">
      <c r="A8" t="inlineStr">
        <is>
          <t>FRED RSAFS/RSFSXMV/DGS2/DGS10/DFEDTARU</t>
        </is>
      </c>
      <c r="B8" t="inlineStr">
        <is>
          <t>2026-10-15 18:05</t>
        </is>
      </c>
      <c r="C8" t="inlineStr">
        <is>
          <t>history</t>
        </is>
      </c>
      <c r="D8" t="inlineStr">
        <is>
          <t>DATA</t>
        </is>
      </c>
    </row>
    <row r="9">
      <c r="A9" t="inlineStr">
        <is>
          <t>Fed 9/16 presser transcript</t>
        </is>
      </c>
      <c r="B9" t="inlineStr">
        <is>
          <t>2026-09-16</t>
        </is>
      </c>
      <c r="C9" t="inlineStr">
        <is>
          <t>3.75-4.00%</t>
        </is>
      </c>
      <c r="D9" t="inlineStr">
        <is>
          <t>FACT</t>
        </is>
      </c>
    </row>
    <row r="10">
      <c r="A10" t="inlineStr">
        <is>
          <t>CME FedWatch via WSJ/Cboe/Yahoo</t>
        </is>
      </c>
      <c r="B10" t="inlineStr">
        <is>
          <t>2026-10-14</t>
        </is>
      </c>
      <c r="C10" t="inlineStr">
        <is>
          <t>Oct hike odds 22-&gt;33-49%</t>
        </is>
      </c>
      <c r="D10" t="inlineStr">
        <is>
          <t>MARKET EXP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Assumption</t>
        </is>
      </c>
      <c r="C1" s="1" t="inlineStr">
        <is>
          <t>Falsifier</t>
        </is>
      </c>
    </row>
    <row r="2">
      <c r="A2" t="n">
        <v>1</v>
      </c>
      <c r="B2" t="inlineStr">
        <is>
          <t>investingLive/Action median = street proxy</t>
        </is>
      </c>
      <c r="C2" t="inlineStr">
        <is>
          <t>Bloomberg median differs</t>
        </is>
      </c>
    </row>
    <row r="3">
      <c r="A3" t="n">
        <v>2</v>
      </c>
      <c r="B3" t="inlineStr">
        <is>
          <t>Online payback pulls control to ~0.0</t>
        </is>
      </c>
      <c r="C3" t="inlineStr">
        <is>
          <t>Nonstore positive &amp; control &gt;=0.5</t>
        </is>
      </c>
    </row>
    <row r="4">
      <c r="A4" t="n">
        <v>3</v>
      </c>
      <c r="B4" t="inlineStr">
        <is>
          <t>Fed reaction function sensitive to demand</t>
        </is>
      </c>
      <c r="C4" t="inlineStr">
        <is>
          <t>Strong print, 2Y &lt;+2bp</t>
        </is>
      </c>
    </row>
    <row r="5">
      <c r="A5" t="n">
        <v>4</v>
      </c>
      <c r="B5" t="inlineStr">
        <is>
          <t>Reaction sizes order-of-magnitude</t>
        </is>
      </c>
      <c r="C5" t="inlineStr">
        <is>
          <t>n/a — not a trade signal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Version</t>
        </is>
      </c>
      <c r="B2" t="inlineStr">
        <is>
          <t>v20261015-1805</t>
        </is>
      </c>
    </row>
    <row r="3">
      <c r="A3" t="inlineStr">
        <is>
          <t>Builder</t>
        </is>
      </c>
      <c r="B3" t="inlineStr">
        <is>
          <t>pipeline/build_1015_pre.py</t>
        </is>
      </c>
    </row>
    <row r="4">
      <c r="A4" t="inlineStr">
        <is>
          <t>Locked SGT</t>
        </is>
      </c>
      <c r="B4" t="inlineStr">
        <is>
          <t>2026-10-15 18:05</t>
        </is>
      </c>
    </row>
    <row r="5">
      <c r="A5" t="inlineStr">
        <is>
          <t>Calibration</t>
        </is>
      </c>
      <c r="B5" t="inlineStr">
        <is>
          <t>{"rule": "v2026-10-14 shrink\u226550% if gap&gt;20pp", "applied": true, "raw": {"weak": 0.25, "inline": 0.55, "strong": 0.2}, "base": {"weak": 0.3333333333333333, "inline": 0.36111111111111116, "strong": 0.3055555555555556}, "calibrated": {"weak": 0.25,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2026-10-15T10:05:42Z</dcterms:created>
  <dcterms:modified xmlns:dcterms="http://purl.org/dc/terms/" xmlns:xsi="http://www.w3.org/2001/XMLSchema-instance" xsi:type="dcterms:W3CDTF">2026-10-15T10:05:42Z</dcterms:modified>
</cp:coreProperties>
</file>