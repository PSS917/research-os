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Calibration" sheetId="2" state="visible" r:id="rId2"/>
    <sheet xmlns:r="http://schemas.openxmlformats.org/officeDocument/2006/relationships" name="Reaction" sheetId="3" state="visible" r:id="rId3"/>
    <sheet xmlns:r="http://schemas.openxmlformats.org/officeDocument/2006/relationships" name="FY2026_Bridge" sheetId="4" state="visible" r:id="rId4"/>
    <sheet xmlns:r="http://schemas.openxmlformats.org/officeDocument/2006/relationships" name="SourceLedger" sheetId="5" state="visible" r:id="rId5"/>
    <sheet xmlns:r="http://schemas.openxmlformats.org/officeDocument/2006/relationships" name="AssumptionRegi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Metric</t>
        </is>
      </c>
      <c r="B1" s="1" t="inlineStr">
        <is>
          <t>Guide low</t>
        </is>
      </c>
      <c r="C1" s="1" t="inlineStr">
        <is>
          <t>Guide high</t>
        </is>
      </c>
      <c r="D1" s="1" t="inlineStr">
        <is>
          <t>Consensus (locked)</t>
        </is>
      </c>
      <c r="E1" s="1" t="inlineStr">
        <is>
          <t>OS (locked)</t>
        </is>
      </c>
      <c r="F1" s="1" t="inlineStr">
        <is>
          <t>Actual</t>
        </is>
      </c>
      <c r="G1" s="1" t="inlineStr">
        <is>
          <t>vs guide high</t>
        </is>
      </c>
      <c r="H1" s="1" t="inlineStr">
        <is>
          <t>vs consensus %</t>
        </is>
      </c>
      <c r="I1" s="1" t="inlineStr">
        <is>
          <t>OS error %</t>
        </is>
      </c>
    </row>
    <row r="2">
      <c r="A2" t="inlineStr">
        <is>
          <t>Revenue US$bn</t>
        </is>
      </c>
      <c r="B2" t="n">
        <v>44.6</v>
      </c>
      <c r="C2" t="n">
        <v>45.8</v>
      </c>
      <c r="D2" t="n">
        <v>45.6372794978125</v>
      </c>
      <c r="E2" t="n">
        <v>45.2</v>
      </c>
      <c r="F2" t="n">
        <v>46.72</v>
      </c>
      <c r="G2">
        <f>IF(C2="","",F2-C2)</f>
        <v/>
      </c>
      <c r="H2">
        <f>IF(D2="","",(F2/D2-1)*100)</f>
        <v/>
      </c>
      <c r="I2">
        <f>(F2/E2-1)*100</f>
        <v/>
      </c>
    </row>
    <row r="3">
      <c r="A3" t="inlineStr">
        <is>
          <t>Gross margin %</t>
        </is>
      </c>
      <c r="B3" t="n">
        <v>65</v>
      </c>
      <c r="C3" t="n">
        <v>67</v>
      </c>
      <c r="E3" t="n">
        <v>66</v>
      </c>
      <c r="F3" t="n">
        <v>66.40000000000001</v>
      </c>
      <c r="G3">
        <f>IF(C3="","",F3-C3)</f>
        <v/>
      </c>
      <c r="H3">
        <f>IF(D3="","",(F3/D3-1)*100)</f>
        <v/>
      </c>
      <c r="I3">
        <f>(F3/E3-1)*100</f>
        <v/>
      </c>
    </row>
    <row r="4">
      <c r="A4" t="inlineStr">
        <is>
          <t>Operating margin %</t>
        </is>
      </c>
      <c r="B4" t="n">
        <v>56</v>
      </c>
      <c r="C4" t="n">
        <v>58</v>
      </c>
      <c r="E4" t="n">
        <v>57</v>
      </c>
      <c r="F4" t="n">
        <v>58.7</v>
      </c>
      <c r="G4">
        <f>IF(C4="","",F4-C4)</f>
        <v/>
      </c>
      <c r="H4">
        <f>IF(D4="","",(F4/D4-1)*100)</f>
        <v/>
      </c>
      <c r="I4">
        <f>(F4/E4-1)*100</f>
        <v/>
      </c>
    </row>
    <row r="5">
      <c r="A5" t="inlineStr">
        <is>
          <t>EPS/ADR US$</t>
        </is>
      </c>
      <c r="D5" t="n">
        <v>4.52449</v>
      </c>
      <c r="E5" t="n">
        <v>4.5</v>
      </c>
      <c r="F5" t="n">
        <v>4.6</v>
      </c>
      <c r="G5">
        <f>IF(C5="","",F5-C5)</f>
        <v/>
      </c>
      <c r="H5">
        <f>IF(D5="","",(F5/D5-1)*100)</f>
        <v/>
      </c>
      <c r="I5">
        <f>(F5/E5-1)*100</f>
        <v/>
      </c>
    </row>
    <row r="6"/>
    <row r="7">
      <c r="A7" t="inlineStr">
        <is>
          <t>Locked-rule class</t>
        </is>
      </c>
      <c r="B7">
        <f>IF(OR(F2&gt;=C2,F3&gt;=C3),"beat",IF(OR(F2&lt;B2,F3&lt;B3),"miss","inline"))</f>
        <v/>
      </c>
    </row>
    <row r="8"/>
    <row r="9">
      <c r="A9" t="inlineStr">
        <is>
          <t>4Q26 guide</t>
        </is>
      </c>
    </row>
    <row r="10">
      <c r="A10" t="inlineStr">
        <is>
          <t>Revenue low</t>
        </is>
      </c>
      <c r="B10" t="n">
        <v>52.3</v>
      </c>
    </row>
    <row r="11">
      <c r="A11" t="inlineStr">
        <is>
          <t>Revenue high</t>
        </is>
      </c>
      <c r="B11" t="n">
        <v>54.3</v>
      </c>
    </row>
    <row r="12">
      <c r="A12" t="inlineStr">
        <is>
          <t>Mid</t>
        </is>
      </c>
      <c r="B12">
        <f>AVERAGE(B10:B11)</f>
        <v/>
      </c>
    </row>
    <row r="13">
      <c r="A13" t="inlineStr">
        <is>
          <t>QoQ at mid %</t>
        </is>
      </c>
      <c r="B13">
        <f>(B12/F2-1)*100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Scenario</t>
        </is>
      </c>
      <c r="B1" s="1" t="inlineStr">
        <is>
          <t>OS locked p</t>
        </is>
      </c>
      <c r="C1" s="1" t="inlineStr">
        <is>
          <t>Uniform</t>
        </is>
      </c>
      <c r="D1" s="1" t="inlineStr">
        <is>
          <t>Base rate</t>
        </is>
      </c>
      <c r="E1" s="1" t="inlineStr">
        <is>
          <t>Outcome</t>
        </is>
      </c>
      <c r="F1" s="1" t="inlineStr">
        <is>
          <t>Brier OS</t>
        </is>
      </c>
      <c r="G1" s="1" t="inlineStr">
        <is>
          <t>Brier uniform</t>
        </is>
      </c>
      <c r="H1" s="1" t="inlineStr">
        <is>
          <t>Brier base</t>
        </is>
      </c>
    </row>
    <row r="2">
      <c r="A2" t="inlineStr">
        <is>
          <t>beat</t>
        </is>
      </c>
      <c r="B2" t="n">
        <v>0.3</v>
      </c>
      <c r="C2" t="n">
        <v>0.3333333333333333</v>
      </c>
      <c r="D2" t="n">
        <v>0.6666666666666666</v>
      </c>
      <c r="E2">
        <f>IF(Scorecard!$B$7=A2,1,0)</f>
        <v/>
      </c>
      <c r="F2">
        <f>(B2-E2)^2</f>
        <v/>
      </c>
      <c r="G2">
        <f>(C2-E2)^2</f>
        <v/>
      </c>
      <c r="H2">
        <f>IF(D2="","",(D2-E2)^2)</f>
        <v/>
      </c>
    </row>
    <row r="3">
      <c r="A3" t="inlineStr">
        <is>
          <t>inline</t>
        </is>
      </c>
      <c r="B3" t="n">
        <v>0.45</v>
      </c>
      <c r="C3" t="n">
        <v>0.3333333333333333</v>
      </c>
      <c r="D3" t="n">
        <v>0.1666666666666667</v>
      </c>
      <c r="E3">
        <f>IF(Scorecard!$B$7=A3,1,0)</f>
        <v/>
      </c>
      <c r="F3">
        <f>(B3-E3)^2</f>
        <v/>
      </c>
      <c r="G3">
        <f>(C3-E3)^2</f>
        <v/>
      </c>
      <c r="H3">
        <f>IF(D3="","",(D3-E3)^2)</f>
        <v/>
      </c>
    </row>
    <row r="4">
      <c r="A4" t="inlineStr">
        <is>
          <t>miss</t>
        </is>
      </c>
      <c r="B4" t="n">
        <v>0.25</v>
      </c>
      <c r="C4" t="n">
        <v>0.3333333333333333</v>
      </c>
      <c r="D4" t="n">
        <v>0.1666666666666667</v>
      </c>
      <c r="E4">
        <f>IF(Scorecard!$B$7=A4,1,0)</f>
        <v/>
      </c>
      <c r="F4">
        <f>(B4-E4)^2</f>
        <v/>
      </c>
      <c r="G4">
        <f>(C4-E4)^2</f>
        <v/>
      </c>
      <c r="H4">
        <f>IF(D4="","",(D4-E4)^2)</f>
        <v/>
      </c>
    </row>
    <row r="5">
      <c r="A5" t="inlineStr">
        <is>
          <t>TOTAL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  <c r="H5">
        <f>SUM(H2:H4)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Ticker</t>
        </is>
      </c>
      <c r="B1" s="1" t="inlineStr">
        <is>
          <t>10/13 close</t>
        </is>
      </c>
      <c r="C1" s="1" t="inlineStr">
        <is>
          <t>10/14 close</t>
        </is>
      </c>
      <c r="D1" s="1" t="inlineStr">
        <is>
          <t>10/15 close</t>
        </is>
      </c>
      <c r="E1" s="1" t="inlineStr">
        <is>
          <t>Pre-day %</t>
        </is>
      </c>
      <c r="F1" s="1" t="inlineStr">
        <is>
          <t>Release-day %</t>
        </is>
      </c>
      <c r="G1" s="1" t="inlineStr">
        <is>
          <t>Release-day vs SOX pp</t>
        </is>
      </c>
    </row>
    <row r="2">
      <c r="A2" t="inlineStr">
        <is>
          <t>TSM</t>
        </is>
      </c>
      <c r="B2" t="n">
        <v>445.12</v>
      </c>
      <c r="C2" t="n">
        <v>430</v>
      </c>
      <c r="D2" t="n">
        <v>422.25</v>
      </c>
      <c r="E2">
        <f>(C2/B2-1)*100</f>
        <v/>
      </c>
      <c r="F2">
        <f>(D2/C2-1)*100</f>
        <v/>
      </c>
      <c r="G2">
        <f>F2-$F$3</f>
        <v/>
      </c>
    </row>
    <row r="3">
      <c r="A3" t="inlineStr">
        <is>
          <t>^SOX</t>
        </is>
      </c>
      <c r="B3" t="n">
        <v>12208.7900390625</v>
      </c>
      <c r="C3" t="n">
        <v>11684.3798828125</v>
      </c>
      <c r="D3" t="n">
        <v>11581.21484375</v>
      </c>
      <c r="E3">
        <f>(C3/B3-1)*100</f>
        <v/>
      </c>
      <c r="F3">
        <f>(D3/C3-1)*100</f>
        <v/>
      </c>
      <c r="G3">
        <f>F3-$F$3</f>
        <v/>
      </c>
    </row>
    <row r="4">
      <c r="A4" t="inlineStr">
        <is>
          <t>^NDX</t>
        </is>
      </c>
      <c r="B4" t="n">
        <v>30569.48046875</v>
      </c>
      <c r="C4" t="n">
        <v>29950.8203125</v>
      </c>
      <c r="D4" t="n">
        <v>29935.59375</v>
      </c>
      <c r="E4">
        <f>(C4/B4-1)*100</f>
        <v/>
      </c>
      <c r="F4">
        <f>(D4/C4-1)*100</f>
        <v/>
      </c>
      <c r="G4">
        <f>F4-$F$3</f>
        <v/>
      </c>
    </row>
    <row r="5">
      <c r="A5" t="inlineStr">
        <is>
          <t>NVDA</t>
        </is>
      </c>
      <c r="B5" t="n">
        <v>228.52</v>
      </c>
      <c r="C5" t="n">
        <v>221.3</v>
      </c>
      <c r="D5" t="n">
        <v>217.23</v>
      </c>
      <c r="E5">
        <f>(C5/B5-1)*100</f>
        <v/>
      </c>
      <c r="F5">
        <f>(D5/C5-1)*100</f>
        <v/>
      </c>
      <c r="G5">
        <f>F5-$F$3</f>
        <v/>
      </c>
    </row>
    <row r="6">
      <c r="A6" t="inlineStr">
        <is>
          <t>AVGO</t>
        </is>
      </c>
      <c r="B6" t="n">
        <v>357.31</v>
      </c>
      <c r="C6" t="n">
        <v>346.25</v>
      </c>
      <c r="D6" t="n">
        <v>344.33</v>
      </c>
      <c r="E6">
        <f>(C6/B6-1)*100</f>
        <v/>
      </c>
      <c r="F6">
        <f>(D6/C6-1)*100</f>
        <v/>
      </c>
      <c r="G6">
        <f>F6-$F$3</f>
        <v/>
      </c>
    </row>
    <row r="7">
      <c r="A7" t="inlineStr">
        <is>
          <t>AMD</t>
        </is>
      </c>
      <c r="B7" t="n">
        <v>605.53</v>
      </c>
      <c r="C7" t="n">
        <v>570.8200000000001</v>
      </c>
      <c r="D7" t="n">
        <v>562.23</v>
      </c>
      <c r="E7">
        <f>(C7/B7-1)*100</f>
        <v/>
      </c>
      <c r="F7">
        <f>(D7/C7-1)*100</f>
        <v/>
      </c>
      <c r="G7">
        <f>F7-$F$3</f>
        <v/>
      </c>
    </row>
    <row r="8">
      <c r="A8" t="inlineStr">
        <is>
          <t>AMAT</t>
        </is>
      </c>
      <c r="B8" t="n">
        <v>464.24</v>
      </c>
      <c r="C8" t="n">
        <v>446.63</v>
      </c>
      <c r="D8" t="n">
        <v>430.01</v>
      </c>
      <c r="E8">
        <f>(C8/B8-1)*100</f>
        <v/>
      </c>
      <c r="F8">
        <f>(D8/C8-1)*100</f>
        <v/>
      </c>
      <c r="G8">
        <f>F8-$F$3</f>
        <v/>
      </c>
    </row>
    <row r="9">
      <c r="A9" t="inlineStr">
        <is>
          <t>KLAC</t>
        </is>
      </c>
      <c r="B9" t="n">
        <v>184</v>
      </c>
      <c r="C9" t="n">
        <v>178.81</v>
      </c>
      <c r="D9" t="n">
        <v>174.46</v>
      </c>
      <c r="E9">
        <f>(C9/B9-1)*100</f>
        <v/>
      </c>
      <c r="F9">
        <f>(D9/C9-1)*100</f>
        <v/>
      </c>
      <c r="G9">
        <f>F9-$F$3</f>
        <v/>
      </c>
    </row>
    <row r="10">
      <c r="A10" t="inlineStr">
        <is>
          <t>MU</t>
        </is>
      </c>
      <c r="B10" t="n">
        <v>953.04</v>
      </c>
      <c r="C10" t="n">
        <v>914.13</v>
      </c>
      <c r="D10" t="n">
        <v>931.24</v>
      </c>
      <c r="E10">
        <f>(C10/B10-1)*100</f>
        <v/>
      </c>
      <c r="F10">
        <f>(D10/C10-1)*100</f>
        <v/>
      </c>
      <c r="G10">
        <f>F10-$F$3</f>
        <v/>
      </c>
    </row>
    <row r="11">
      <c r="A11" t="inlineStr">
        <is>
          <t>ARM</t>
        </is>
      </c>
      <c r="B11" t="n">
        <v>255.39</v>
      </c>
      <c r="C11" t="n">
        <v>238.01</v>
      </c>
      <c r="D11" t="n">
        <v>244.79</v>
      </c>
      <c r="E11">
        <f>(C11/B11-1)*100</f>
        <v/>
      </c>
      <c r="F11">
        <f>(D11/C11-1)*100</f>
        <v/>
      </c>
      <c r="G11">
        <f>F11-$F$3</f>
        <v/>
      </c>
    </row>
    <row r="12">
      <c r="A12" t="inlineStr">
        <is>
          <t>INTC</t>
        </is>
      </c>
      <c r="B12" t="n">
        <v>102.81</v>
      </c>
      <c r="C12" t="n">
        <v>98.12</v>
      </c>
      <c r="D12" t="n">
        <v>95.37</v>
      </c>
      <c r="E12">
        <f>(C12/B12-1)*100</f>
        <v/>
      </c>
      <c r="F12">
        <f>(D12/C12-1)*100</f>
        <v/>
      </c>
      <c r="G12">
        <f>F12-$F$3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Item</t>
        </is>
      </c>
      <c r="B1" s="1" t="inlineStr">
        <is>
          <t>NT$bn</t>
        </is>
      </c>
      <c r="C1" s="1" t="inlineStr">
        <is>
          <t>Note</t>
        </is>
      </c>
    </row>
    <row r="2">
      <c r="A2" t="inlineStr">
        <is>
          <t>1Q26 revenue</t>
        </is>
      </c>
      <c r="B2" t="n">
        <v>1134.103</v>
      </c>
      <c r="C2" t="inlineStr">
        <is>
          <t>Yahoo q_income</t>
        </is>
      </c>
    </row>
    <row r="3">
      <c r="A3" t="inlineStr">
        <is>
          <t>2Q26 revenue</t>
        </is>
      </c>
      <c r="B3" t="n">
        <v>1270.38</v>
      </c>
      <c r="C3" t="inlineStr">
        <is>
          <t>Yahoo q_income / TSMC</t>
        </is>
      </c>
    </row>
    <row r="4">
      <c r="A4" t="inlineStr">
        <is>
          <t>3Q26 revenue</t>
        </is>
      </c>
      <c r="B4" t="n">
        <v>1494.24</v>
      </c>
      <c r="C4" t="inlineStr">
        <is>
          <t>TSMC 3Q26 release</t>
        </is>
      </c>
    </row>
    <row r="5">
      <c r="A5" t="inlineStr">
        <is>
          <t>4Q26 guide US$bn (edit me)</t>
        </is>
      </c>
      <c r="B5" s="2" t="n">
        <v>53.3</v>
      </c>
      <c r="C5" t="inlineStr">
        <is>
          <t>guide mid</t>
        </is>
      </c>
    </row>
    <row r="6">
      <c r="A6" t="inlineStr">
        <is>
          <t>4Q26 FX assumption</t>
        </is>
      </c>
      <c r="B6" t="n">
        <v>31.8</v>
      </c>
      <c r="C6" t="inlineStr">
        <is>
          <t>TSMC guide</t>
        </is>
      </c>
    </row>
    <row r="7">
      <c r="A7" t="inlineStr">
        <is>
          <t>4Q26 revenue NT$bn</t>
        </is>
      </c>
      <c r="B7">
        <f>B5*B6</f>
        <v/>
      </c>
      <c r="C7" t="inlineStr">
        <is>
          <t>derived</t>
        </is>
      </c>
    </row>
    <row r="8">
      <c r="A8" t="inlineStr">
        <is>
          <t>FY2026E</t>
        </is>
      </c>
      <c r="B8">
        <f>B2+B3+B4+B7</f>
        <v/>
      </c>
      <c r="C8" t="inlineStr">
        <is>
          <t>derived</t>
        </is>
      </c>
    </row>
    <row r="9">
      <c r="A9" t="inlineStr">
        <is>
          <t>FY2025 revenue</t>
        </is>
      </c>
      <c r="B9" t="n">
        <v>3809.054</v>
      </c>
      <c r="C9" t="inlineStr">
        <is>
          <t>Yahoo rev_est yearAgoRevenue</t>
        </is>
      </c>
    </row>
    <row r="10">
      <c r="A10" t="inlineStr">
        <is>
          <t>FY2026 growth %</t>
        </is>
      </c>
      <c r="B10">
        <f>(B8/B9-1)*100</f>
        <v/>
      </c>
      <c r="C10" t="inlineStr">
        <is>
          <t>derived</t>
        </is>
      </c>
    </row>
    <row r="11">
      <c r="A11" t="inlineStr">
        <is>
          <t>Consensus FY2026 (Yahoo 0y)</t>
        </is>
      </c>
      <c r="B11" t="n">
        <v>5520.43</v>
      </c>
      <c r="C11" t="inlineStr">
        <is>
          <t>MARKET EXP</t>
        </is>
      </c>
    </row>
    <row r="12">
      <c r="A12" t="inlineStr">
        <is>
          <t>vs consensus %</t>
        </is>
      </c>
      <c r="B12">
        <f>(B8/B11-1)*100</f>
        <v/>
      </c>
      <c r="C12" t="inlineStr">
        <is>
          <t>derived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Item</t>
        </is>
      </c>
      <c r="B1" s="1" t="inlineStr">
        <is>
          <t>Source</t>
        </is>
      </c>
      <c r="C1" s="1" t="inlineStr">
        <is>
          <t>Class</t>
        </is>
      </c>
      <c r="D1" s="1" t="inlineStr">
        <is>
          <t>Time</t>
        </is>
      </c>
    </row>
    <row r="2">
      <c r="A2" t="inlineStr">
        <is>
          <t>3Q26 actuals &amp; 4Q guide</t>
        </is>
      </c>
      <c r="B2" t="inlineStr">
        <is>
          <t>https://investor.tsmc.com/english/encrypt/files/encrypt_file/reports/2026-10/526b65af7305df2dde6b9ece6812b1fdf1e49f9b/3Q26%20EarningsRelease.pdf</t>
        </is>
      </c>
      <c r="C2" t="inlineStr">
        <is>
          <t>FACT</t>
        </is>
      </c>
      <c r="D2" t="inlineStr">
        <is>
          <t>2026-10-15</t>
        </is>
      </c>
    </row>
    <row r="3">
      <c r="A3" t="inlineStr">
        <is>
          <t>SEC 6-K</t>
        </is>
      </c>
      <c r="B3" t="inlineStr">
        <is>
          <t>https://www.sec.gov/Archives/edgar/data/1046179/000104617926000726/a3q26e_withguidancexfinal.htm</t>
        </is>
      </c>
      <c r="C3" t="inlineStr">
        <is>
          <t>FACT</t>
        </is>
      </c>
      <c r="D3" t="inlineStr">
        <is>
          <t>2026-10-15</t>
        </is>
      </c>
    </row>
    <row r="4">
      <c r="A4" t="inlineStr">
        <is>
          <t>Presentation</t>
        </is>
      </c>
      <c r="B4" t="inlineStr">
        <is>
          <t>https://investor.tsmc.com/english/encrypt/files/encrypt_file/reports/2026-10/9f58506f6f114f91cefbf86820cc63297b39b130/3Q26%20Presentation%20(E).pdf</t>
        </is>
      </c>
      <c r="C4" t="inlineStr">
        <is>
          <t>FACT</t>
        </is>
      </c>
      <c r="D4" t="inlineStr">
        <is>
          <t>2026-10-15</t>
        </is>
      </c>
    </row>
    <row r="5">
      <c r="A5" t="inlineStr">
        <is>
          <t>Call</t>
        </is>
      </c>
      <c r="B5" t="inlineStr">
        <is>
          <t>https://www.fool.com/earnings/call-transcripts/2026/10/15/tsmc-tsm-q3-2026-earnings-call-transcript/</t>
        </is>
      </c>
      <c r="C5" t="inlineStr">
        <is>
          <t>GUIDANCE</t>
        </is>
      </c>
      <c r="D5" t="inlineStr">
        <is>
          <t>2026-10-15</t>
        </is>
      </c>
    </row>
    <row r="6">
      <c r="A6" t="inlineStr">
        <is>
          <t>Locked expectations</t>
        </is>
      </c>
      <c r="B6" t="inlineStr">
        <is>
          <t>v20261014-1806</t>
        </is>
      </c>
      <c r="C6" t="inlineStr">
        <is>
          <t>MARKET EXP/HYPOTHESIS</t>
        </is>
      </c>
      <c r="D6" t="inlineStr">
        <is>
          <t>2026-10-14T18:06:51.337377+08:00</t>
        </is>
      </c>
    </row>
    <row r="7">
      <c r="A7" t="inlineStr">
        <is>
          <t>Prices</t>
        </is>
      </c>
      <c r="B7" t="inlineStr">
        <is>
          <t>Yahoo Finance via yfinance</t>
        </is>
      </c>
      <c r="C7" t="inlineStr">
        <is>
          <t>DATA</t>
        </is>
      </c>
      <c r="D7" t="inlineStr">
        <is>
          <t>2026-10-16 08:02 SGT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No.</t>
        </is>
      </c>
      <c r="B1" s="1" t="inlineStr">
        <is>
          <t>Assumption</t>
        </is>
      </c>
      <c r="C1" s="1" t="inlineStr">
        <is>
          <t>Type</t>
        </is>
      </c>
      <c r="D1" s="1" t="inlineStr">
        <is>
          <t>Test / failure</t>
        </is>
      </c>
    </row>
    <row r="2">
      <c r="A2" t="n">
        <v>1</v>
      </c>
      <c r="B2" t="inlineStr">
        <is>
          <t>4Q revenue inside guide</t>
        </is>
      </c>
      <c r="C2" t="inlineStr">
        <is>
          <t>GUIDANCE</t>
        </is>
      </c>
      <c r="D2" t="inlineStr">
        <is>
          <t>Jan results; monthly revenue</t>
        </is>
      </c>
    </row>
    <row r="3">
      <c r="A3" t="n">
        <v>2</v>
      </c>
      <c r="B3" t="inlineStr">
        <is>
          <t>GM dilution within mgmt range</t>
        </is>
      </c>
      <c r="C3" t="inlineStr">
        <is>
          <t>HYPOTHESIS</t>
        </is>
      </c>
      <c r="D3" t="inlineStr">
        <is>
          <t>4Q GM &lt; 65%</t>
        </is>
      </c>
    </row>
    <row r="4">
      <c r="A4" t="n">
        <v>3</v>
      </c>
      <c r="B4" t="inlineStr">
        <is>
          <t>Release-day drop was sector-driven</t>
        </is>
      </c>
      <c r="C4" t="inlineStr">
        <is>
          <t>INFERENCE</t>
        </is>
      </c>
      <c r="D4" t="inlineStr">
        <is>
          <t>2330 underperforms TAIEX on 10/16</t>
        </is>
      </c>
    </row>
    <row r="5">
      <c r="A5" t="n">
        <v>4</v>
      </c>
      <c r="B5" t="inlineStr">
        <is>
          <t>4Q25 USD rev derived from guide/1.58</t>
        </is>
      </c>
      <c r="C5" t="inlineStr">
        <is>
          <t>DERIVED</t>
        </is>
      </c>
      <c r="D5" t="inlineStr">
        <is>
          <t>replace with reported</t>
        </is>
      </c>
    </row>
    <row r="6">
      <c r="A6" t="n">
        <v>5</v>
      </c>
      <c r="B6" t="inlineStr">
        <is>
          <t>Beat base rate from EPS history</t>
        </is>
      </c>
      <c r="C6" t="inlineStr">
        <is>
          <t>HYPOTHESIS</t>
        </is>
      </c>
      <c r="D6" t="inlineStr">
        <is>
          <t>only 3 quarters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2026-10-16T00:02:33Z</dcterms:created>
  <dcterms:modified xmlns:dcterms="http://purl.org/dc/terms/" xmlns:xsi="http://www.w3.org/2001/XMLSchema-instance" xsi:type="dcterms:W3CDTF">2026-10-16T00:02:33Z</dcterms:modified>
</cp:coreProperties>
</file>