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prise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RatesPath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Kalshi" sheetId="6" state="visible" r:id="rId6"/>
    <sheet xmlns:r="http://schemas.openxmlformats.org/officeDocument/2006/relationships" name="SourceLedger" sheetId="7" state="visible" r:id="rId7"/>
    <sheet xmlns:r="http://schemas.openxmlformats.org/officeDocument/2006/relationships" name="Assumption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Metric</t>
        </is>
      </c>
      <c r="B1" s="1" t="inlineStr">
        <is>
          <t>Actual %</t>
        </is>
      </c>
      <c r="C1" s="1" t="inlineStr">
        <is>
          <t>Consensus % (locked)</t>
        </is>
      </c>
      <c r="D1" s="1" t="inlineStr">
        <is>
          <t>OS % (locked)</t>
        </is>
      </c>
      <c r="E1" s="1" t="inlineStr">
        <is>
          <t>Surprise vs consensus (pp)</t>
        </is>
      </c>
      <c r="F1" s="1" t="inlineStr">
        <is>
          <t>OS error (pp)</t>
        </is>
      </c>
    </row>
    <row r="2">
      <c r="A2" t="inlineStr">
        <is>
          <t>最终需求 Final demand MoM</t>
        </is>
      </c>
      <c r="B2" t="n">
        <v>1.3434</v>
      </c>
      <c r="C2" t="n">
        <v>0.5</v>
      </c>
      <c r="D2" t="n">
        <v>0.5</v>
      </c>
      <c r="E2">
        <f>IF(OR(B2="",C2=""),"",B2-C2)</f>
        <v/>
      </c>
      <c r="F2">
        <f>IF(OR(B2="",D2=""),"",B2-D2)</f>
        <v/>
      </c>
    </row>
    <row r="3">
      <c r="A3" t="inlineStr">
        <is>
          <t>最终需求 Final demand YoY</t>
        </is>
      </c>
      <c r="B3" t="n">
        <v>6.3378</v>
      </c>
      <c r="C3" t="n">
        <v>5.3</v>
      </c>
      <c r="D3" t="n">
        <v>5.3</v>
      </c>
      <c r="E3">
        <f>IF(OR(B3="",C3=""),"",B3-C3)</f>
        <v/>
      </c>
      <c r="F3">
        <f>IF(OR(B3="",D3=""),"",B3-D3)</f>
        <v/>
      </c>
    </row>
    <row r="4">
      <c r="A4" t="inlineStr">
        <is>
          <t>核心（除食品能源）Core ex F&amp;E MoM〔对照列=Continuum 分析师观点 0.3%，非共识〕</t>
        </is>
      </c>
      <c r="B4" t="n">
        <v>0.6814</v>
      </c>
      <c r="C4" t="n">
        <v>0.3</v>
      </c>
      <c r="E4">
        <f>IF(OR(B4="",C4=""),"",B4-C4)</f>
        <v/>
      </c>
      <c r="F4">
        <f>IF(OR(B4="",D4=""),"",B4-D4)</f>
        <v/>
      </c>
    </row>
    <row r="5">
      <c r="A5" t="inlineStr">
        <is>
          <t>核心 Core ex F&amp;E YoY</t>
        </is>
      </c>
      <c r="B5" t="n">
        <v>4.9696</v>
      </c>
      <c r="E5">
        <f>IF(OR(B5="",C5=""),"",B5-C5)</f>
        <v/>
      </c>
      <c r="F5">
        <f>IF(OR(B5="",D5=""),"",B5-D5)</f>
        <v/>
      </c>
    </row>
    <row r="6">
      <c r="A6" t="inlineStr">
        <is>
          <t>除食品能源贸易 Ex F/E/trade MoM</t>
        </is>
      </c>
      <c r="B6" t="n">
        <v>0.4876</v>
      </c>
      <c r="E6">
        <f>IF(OR(B6="",C6=""),"",B6-C6)</f>
        <v/>
      </c>
      <c r="F6">
        <f>IF(OR(B6="",D6=""),"",B6-D6)</f>
        <v/>
      </c>
    </row>
    <row r="7"/>
    <row r="8">
      <c r="A8" t="inlineStr">
        <is>
          <t>Cool: MoM ≤</t>
        </is>
      </c>
      <c r="B8" t="n">
        <v>0.2</v>
      </c>
      <c r="C8" t="inlineStr">
        <is>
          <t>or YoY ≤</t>
        </is>
      </c>
      <c r="D8" t="n">
        <v>5</v>
      </c>
    </row>
    <row r="9">
      <c r="A9" t="inlineStr">
        <is>
          <t>Hot: MoM ≥</t>
        </is>
      </c>
      <c r="B9" t="n">
        <v>0.7</v>
      </c>
      <c r="C9" t="inlineStr">
        <is>
          <t>or YoY ≥</t>
        </is>
      </c>
      <c r="D9" t="n">
        <v>5.6</v>
      </c>
    </row>
    <row r="10">
      <c r="A10" t="inlineStr">
        <is>
          <t>Locked-rule bucket</t>
        </is>
      </c>
      <c r="B10">
        <f>IF(OR(ROUND(B2,1)&lt;=B8,ROUND(B3,1)&lt;=D8),"cool",IF(OR(ROUND(B2,1)&gt;=B9,ROUND(B3,1)&gt;=D9),"hot","inline"))</f>
        <v/>
      </c>
    </row>
    <row r="11">
      <c r="A11" t="inlineStr">
        <is>
          <t>Ex F/E/trade bucket (≤0.1 cool, ≥0.5 hot)</t>
        </is>
      </c>
      <c r="B11">
        <f>IF(ROUND(B6,1)&lt;=0.1,"cool",IF(ROUND(B6,1)&gt;=0.5,"hot","inline"))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Scenario</t>
        </is>
      </c>
      <c r="B1" s="1" t="inlineStr">
        <is>
          <t>OS locked p</t>
        </is>
      </c>
      <c r="C1" s="1" t="inlineStr">
        <is>
          <t>Base rate</t>
        </is>
      </c>
      <c r="D1" s="1" t="inlineStr">
        <is>
          <t>Uniform</t>
        </is>
      </c>
      <c r="E1" s="1" t="inlineStr">
        <is>
          <t>Outcome (1/0)</t>
        </is>
      </c>
      <c r="F1" s="1" t="inlineStr">
        <is>
          <t>Brier OS</t>
        </is>
      </c>
      <c r="G1" s="1" t="inlineStr">
        <is>
          <t>Brier base</t>
        </is>
      </c>
      <c r="H1" s="1" t="inlineStr">
        <is>
          <t>Brier uniform</t>
        </is>
      </c>
    </row>
    <row r="2">
      <c r="A2" t="inlineStr">
        <is>
          <t>cool</t>
        </is>
      </c>
      <c r="B2" t="n">
        <v>0.25</v>
      </c>
      <c r="C2" t="n">
        <v>0.4444444444444444</v>
      </c>
      <c r="D2" t="n">
        <v>0.3333333333333333</v>
      </c>
      <c r="E2">
        <f>IF(Surprise!B10=A2,1,0)</f>
        <v/>
      </c>
      <c r="F2">
        <f>(B2-E2)^2</f>
        <v/>
      </c>
      <c r="G2">
        <f>(C2-E2)^2</f>
        <v/>
      </c>
      <c r="H2">
        <f>(D2-E2)^2</f>
        <v/>
      </c>
    </row>
    <row r="3">
      <c r="A3" t="inlineStr">
        <is>
          <t>inline</t>
        </is>
      </c>
      <c r="B3" t="n">
        <v>0.5</v>
      </c>
      <c r="C3" t="n">
        <v>0.4722222222222223</v>
      </c>
      <c r="D3" t="n">
        <v>0.3333333333333333</v>
      </c>
      <c r="E3">
        <f>IF(Surprise!B10=A3,1,0)</f>
        <v/>
      </c>
      <c r="F3">
        <f>(B3-E3)^2</f>
        <v/>
      </c>
      <c r="G3">
        <f>(C3-E3)^2</f>
        <v/>
      </c>
      <c r="H3">
        <f>(D3-E3)^2</f>
        <v/>
      </c>
    </row>
    <row r="4">
      <c r="A4" t="inlineStr">
        <is>
          <t>hot</t>
        </is>
      </c>
      <c r="B4" t="n">
        <v>0.25</v>
      </c>
      <c r="C4" t="n">
        <v>0.08333333333333333</v>
      </c>
      <c r="D4" t="n">
        <v>0.3333333333333333</v>
      </c>
      <c r="E4">
        <f>IF(Surprise!B10=A4,1,0)</f>
        <v/>
      </c>
      <c r="F4">
        <f>(B4-E4)^2</f>
        <v/>
      </c>
      <c r="G4">
        <f>(C4-E4)^2</f>
        <v/>
      </c>
      <c r="H4">
        <f>(D4-E4)^2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Winner (lowest Brier)</t>
        </is>
      </c>
      <c r="B6">
        <f>INDEX({"OS","Base","Uniform"},MATCH(MIN(F5:H5),F5:H5,0))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Component</t>
        </is>
      </c>
      <c r="B1" s="1" t="inlineStr">
        <is>
          <t>MoM %</t>
        </is>
      </c>
      <c r="C1" s="1" t="inlineStr">
        <is>
          <t>Prior MoM %</t>
        </is>
      </c>
      <c r="D1" s="1" t="inlineStr">
        <is>
          <t>Acceleration (pp)</t>
        </is>
      </c>
    </row>
    <row r="2">
      <c r="A2" t="inlineStr">
        <is>
          <t>能源 Energy (goods)</t>
        </is>
      </c>
      <c r="B2" t="n">
        <v>10.7837</v>
      </c>
      <c r="C2" t="n">
        <v>4.4627</v>
      </c>
      <c r="D2">
        <f>IF(C2="","",B2-C2)</f>
        <v/>
      </c>
    </row>
    <row r="3">
      <c r="A3" t="inlineStr">
        <is>
          <t>运输仓储 Transport &amp; warehousing</t>
        </is>
      </c>
      <c r="B3" t="n">
        <v>3.4381</v>
      </c>
      <c r="C3" t="n">
        <v>2.1755</v>
      </c>
      <c r="D3">
        <f>IF(C3="","",B3-C3)</f>
        <v/>
      </c>
    </row>
    <row r="4">
      <c r="A4" t="inlineStr">
        <is>
          <t>机票 Airline passenger svcs*</t>
        </is>
      </c>
      <c r="B4" t="n">
        <v>3.8147</v>
      </c>
      <c r="C4" t="n">
        <v>2.5756</v>
      </c>
      <c r="D4">
        <f>IF(C4="","",B4-C4)</f>
        <v/>
      </c>
    </row>
    <row r="5">
      <c r="A5" t="inlineStr">
        <is>
          <t>食品 Foods</t>
        </is>
      </c>
      <c r="B5" t="n">
        <v>1.2199</v>
      </c>
      <c r="C5" t="n">
        <v>-0.3167</v>
      </c>
      <c r="D5">
        <f>IF(C5="","",B5-C5)</f>
        <v/>
      </c>
    </row>
    <row r="6">
      <c r="A6" t="inlineStr">
        <is>
          <t>贸易利润 Trade margins</t>
        </is>
      </c>
      <c r="B6" t="n">
        <v>1.3751</v>
      </c>
      <c r="C6" t="n">
        <v>0.1897</v>
      </c>
      <c r="D6">
        <f>IF(C6="","",B6-C6)</f>
        <v/>
      </c>
    </row>
    <row r="7">
      <c r="A7" t="inlineStr">
        <is>
          <t>最终需求商品 FD goods</t>
        </is>
      </c>
      <c r="B7" t="n">
        <v>2.6455</v>
      </c>
      <c r="C7" t="n">
        <v>1.095</v>
      </c>
      <c r="D7">
        <f>IF(C7="","",B7-C7)</f>
        <v/>
      </c>
    </row>
    <row r="8">
      <c r="A8" t="inlineStr">
        <is>
          <t>服务 FD services</t>
        </is>
      </c>
      <c r="B8" t="n">
        <v>0.8178</v>
      </c>
      <c r="C8" t="n">
        <v>0.2147</v>
      </c>
      <c r="D8">
        <f>IF(C8="","",B8-C8)</f>
        <v/>
      </c>
    </row>
    <row r="9">
      <c r="A9" t="inlineStr">
        <is>
          <t>医院住院 Hospital inpatient</t>
        </is>
      </c>
      <c r="B9" t="n">
        <v>0.3217</v>
      </c>
      <c r="C9" t="n">
        <v>0.3323</v>
      </c>
      <c r="D9">
        <f>IF(C9="","",B9-C9)</f>
        <v/>
      </c>
    </row>
    <row r="10">
      <c r="A10" t="inlineStr">
        <is>
          <t>核心商品 Goods ex food&amp;energy</t>
        </is>
      </c>
      <c r="B10" t="n">
        <v>0.2733</v>
      </c>
      <c r="C10" t="n">
        <v>0.3925</v>
      </c>
      <c r="D10">
        <f>IF(C10="","",B10-C10)</f>
        <v/>
      </c>
    </row>
    <row r="11">
      <c r="A11" t="inlineStr">
        <is>
          <t>组合管理费 Portfolio mgmt*</t>
        </is>
      </c>
      <c r="B11" t="n">
        <v>0.2706</v>
      </c>
      <c r="C11" t="n">
        <v>0.289</v>
      </c>
      <c r="D11">
        <f>IF(C11="","",B11-C11)</f>
        <v/>
      </c>
    </row>
    <row r="12">
      <c r="A12" t="inlineStr">
        <is>
          <t>服务(除贸易运输) Svcs less trade/transp.</t>
        </is>
      </c>
      <c r="B12" t="n">
        <v>0.2532</v>
      </c>
      <c r="C12" t="n">
        <v>-0.004</v>
      </c>
      <c r="D12">
        <f>IF(C12="","",B12-C12)</f>
        <v/>
      </c>
    </row>
    <row r="13">
      <c r="A13" t="inlineStr">
        <is>
          <t>医生服务 Physician care</t>
        </is>
      </c>
      <c r="B13" t="n">
        <v>-0.0195</v>
      </c>
      <c r="C13" t="n">
        <v>0.1331</v>
      </c>
      <c r="D13">
        <f>IF(C13="","",B13-C13)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 ET</t>
        </is>
      </c>
      <c r="B1" s="1" t="inlineStr">
        <is>
          <t>10Y % (^TNX)</t>
        </is>
      </c>
      <c r="C1" s="1" t="inlineStr">
        <is>
          <t>5Y % (^FVX)</t>
        </is>
      </c>
      <c r="D1" s="1" t="inlineStr">
        <is>
          <t>ZT=F price</t>
        </is>
      </c>
      <c r="E1" s="1" t="inlineStr">
        <is>
          <t>10Y bp vs 08:29</t>
        </is>
      </c>
      <c r="F1" s="1" t="inlineStr">
        <is>
          <t>2Y bp vs 08:29 (ZT est.)</t>
        </is>
      </c>
      <c r="G1" s="1" t="inlineStr">
        <is>
          <t>DV01 per bp (ZT)</t>
        </is>
      </c>
    </row>
    <row r="2">
      <c r="E2">
        <f>IF(B2="","",(B2-$B$6)*100)</f>
        <v/>
      </c>
      <c r="F2">
        <f>IF(D2="","",-(D2-$D$6)/$G$2)</f>
        <v/>
      </c>
      <c r="G2" t="n">
        <v>0.0194</v>
      </c>
    </row>
    <row r="3">
      <c r="A3" t="inlineStr">
        <is>
          <t>08:00</t>
        </is>
      </c>
      <c r="D3" t="n">
        <v>101.9296875</v>
      </c>
      <c r="E3">
        <f>IF(B3="","",(B3-$B$6)*100)</f>
        <v/>
      </c>
      <c r="F3">
        <f>IF(D3="","",-(D3-$D$6)/$G$2)</f>
        <v/>
      </c>
    </row>
    <row r="4">
      <c r="A4" t="inlineStr">
        <is>
          <t>08:15</t>
        </is>
      </c>
      <c r="D4" t="n">
        <v>101.9375</v>
      </c>
      <c r="E4">
        <f>IF(B4="","",(B4-$B$6)*100)</f>
        <v/>
      </c>
      <c r="F4">
        <f>IF(D4="","",-(D4-$D$6)/$G$2)</f>
        <v/>
      </c>
    </row>
    <row r="5">
      <c r="A5" t="inlineStr">
        <is>
          <t>08:20</t>
        </is>
      </c>
      <c r="B5" t="n">
        <v>5.081000328063965</v>
      </c>
      <c r="C5" t="n">
        <v>4.8919997215271</v>
      </c>
      <c r="D5" t="n">
        <v>101.9453125</v>
      </c>
      <c r="E5">
        <f>IF(B5="","",(B5-$B$6)*100)</f>
        <v/>
      </c>
      <c r="F5">
        <f>IF(D5="","",-(D5-$D$6)/$G$2)</f>
        <v/>
      </c>
    </row>
    <row r="6">
      <c r="A6" t="inlineStr">
        <is>
          <t>08:25</t>
        </is>
      </c>
      <c r="B6" t="n">
        <v>5.083000183105469</v>
      </c>
      <c r="C6" t="n">
        <v>4.894000053405762</v>
      </c>
      <c r="D6" t="n">
        <v>101.94140625</v>
      </c>
      <c r="E6">
        <f>IF(B6="","",(B6-$B$6)*100)</f>
        <v/>
      </c>
      <c r="F6">
        <f>IF(D6="","",-(D6-$D$6)/$G$2)</f>
        <v/>
      </c>
    </row>
    <row r="7">
      <c r="A7" t="inlineStr">
        <is>
          <t>08:29</t>
        </is>
      </c>
      <c r="B7" t="n">
        <v>5.081000328063965</v>
      </c>
      <c r="C7" t="n">
        <v>4.890000343322754</v>
      </c>
      <c r="D7" t="n">
        <v>101.94921875</v>
      </c>
      <c r="E7">
        <f>IF(B7="","",(B7-$B$6)*100)</f>
        <v/>
      </c>
      <c r="F7">
        <f>IF(D7="","",-(D7-$D$6)/$G$2)</f>
        <v/>
      </c>
    </row>
    <row r="8">
      <c r="A8" t="inlineStr">
        <is>
          <t>08:30</t>
        </is>
      </c>
      <c r="B8" t="n">
        <v>5.092999935150146</v>
      </c>
      <c r="C8" t="n">
        <v>4.907999992370605</v>
      </c>
      <c r="D8" t="n">
        <v>101.921875</v>
      </c>
      <c r="E8">
        <f>IF(B8="","",(B8-$B$6)*100)</f>
        <v/>
      </c>
      <c r="F8">
        <f>IF(D8="","",-(D8-$D$6)/$G$2)</f>
        <v/>
      </c>
    </row>
    <row r="9">
      <c r="A9" t="inlineStr">
        <is>
          <t>08:31</t>
        </is>
      </c>
      <c r="B9" t="n">
        <v>5.095000267028809</v>
      </c>
      <c r="C9" t="n">
        <v>4.913000106811523</v>
      </c>
      <c r="D9" t="n">
        <v>101.90625</v>
      </c>
      <c r="E9">
        <f>IF(B9="","",(B9-$B$6)*100)</f>
        <v/>
      </c>
      <c r="F9">
        <f>IF(D9="","",-(D9-$D$6)/$G$2)</f>
        <v/>
      </c>
    </row>
    <row r="10">
      <c r="A10" t="inlineStr">
        <is>
          <t>08:32</t>
        </is>
      </c>
      <c r="B10" t="n">
        <v>5.099999904632568</v>
      </c>
      <c r="C10" t="n">
        <v>4.921999931335449</v>
      </c>
      <c r="D10" t="n">
        <v>101.8828125</v>
      </c>
      <c r="E10">
        <f>IF(B10="","",(B10-$B$6)*100)</f>
        <v/>
      </c>
      <c r="F10">
        <f>IF(D10="","",-(D10-$D$6)/$G$2)</f>
        <v/>
      </c>
    </row>
    <row r="11">
      <c r="A11" t="inlineStr">
        <is>
          <t>08:33</t>
        </is>
      </c>
      <c r="B11" t="n">
        <v>5.098000049591064</v>
      </c>
      <c r="C11" t="n">
        <v>4.920000076293945</v>
      </c>
      <c r="D11" t="n">
        <v>101.8828125</v>
      </c>
      <c r="E11">
        <f>IF(B11="","",(B11-$B$6)*100)</f>
        <v/>
      </c>
      <c r="F11">
        <f>IF(D11="","",-(D11-$D$6)/$G$2)</f>
        <v/>
      </c>
    </row>
    <row r="12">
      <c r="A12" t="inlineStr">
        <is>
          <t>08:35</t>
        </is>
      </c>
      <c r="B12" t="n">
        <v>5.085000038146973</v>
      </c>
      <c r="C12" t="n">
        <v>4.907999992370605</v>
      </c>
      <c r="D12" t="n">
        <v>101.90234375</v>
      </c>
      <c r="E12">
        <f>IF(B12="","",(B12-$B$6)*100)</f>
        <v/>
      </c>
      <c r="F12">
        <f>IF(D12="","",-(D12-$D$6)/$G$2)</f>
        <v/>
      </c>
    </row>
    <row r="13">
      <c r="A13" t="inlineStr">
        <is>
          <t>08:40</t>
        </is>
      </c>
      <c r="B13" t="n">
        <v>5.056000232696533</v>
      </c>
      <c r="C13" t="n">
        <v>4.884999752044678</v>
      </c>
      <c r="D13" t="n">
        <v>101.94140625</v>
      </c>
      <c r="E13">
        <f>IF(B13="","",(B13-$B$6)*100)</f>
        <v/>
      </c>
      <c r="F13">
        <f>IF(D13="","",-(D13-$D$6)/$G$2)</f>
        <v/>
      </c>
    </row>
    <row r="14">
      <c r="A14" t="inlineStr">
        <is>
          <t>08:45</t>
        </is>
      </c>
      <c r="B14" t="n">
        <v>5.061999797821045</v>
      </c>
      <c r="C14" t="n">
        <v>4.883000373840332</v>
      </c>
      <c r="D14" t="n">
        <v>101.9375</v>
      </c>
      <c r="E14">
        <f>IF(B14="","",(B14-$B$6)*100)</f>
        <v/>
      </c>
      <c r="F14">
        <f>IF(D14="","",-(D14-$D$6)/$G$2)</f>
        <v/>
      </c>
    </row>
    <row r="15">
      <c r="A15" t="inlineStr">
        <is>
          <t>08:50</t>
        </is>
      </c>
      <c r="B15" t="n">
        <v>5.067999839782715</v>
      </c>
      <c r="C15" t="n">
        <v>4.890000343322754</v>
      </c>
      <c r="D15" t="n">
        <v>101.91796875</v>
      </c>
      <c r="E15">
        <f>IF(B15="","",(B15-$B$6)*100)</f>
        <v/>
      </c>
      <c r="F15">
        <f>IF(D15="","",-(D15-$D$6)/$G$2)</f>
        <v/>
      </c>
    </row>
    <row r="16">
      <c r="A16" t="inlineStr">
        <is>
          <t>08:55</t>
        </is>
      </c>
      <c r="B16" t="n">
        <v>5.061999797821045</v>
      </c>
      <c r="C16" t="n">
        <v>4.883000373840332</v>
      </c>
      <c r="D16" t="n">
        <v>101.9453125</v>
      </c>
      <c r="E16">
        <f>IF(B16="","",(B16-$B$6)*100)</f>
        <v/>
      </c>
      <c r="F16">
        <f>IF(D16="","",-(D16-$D$6)/$G$2)</f>
        <v/>
      </c>
    </row>
    <row r="17">
      <c r="A17" t="inlineStr">
        <is>
          <t>09:00</t>
        </is>
      </c>
      <c r="B17" t="n">
        <v>5.052000045776367</v>
      </c>
      <c r="C17" t="n">
        <v>4.865000247955322</v>
      </c>
      <c r="D17" t="n">
        <v>101.98046875</v>
      </c>
      <c r="E17">
        <f>IF(B17="","",(B17-$B$6)*100)</f>
        <v/>
      </c>
      <c r="F17">
        <f>IF(D17="","",-(D17-$D$6)/$G$2)</f>
        <v/>
      </c>
    </row>
    <row r="18">
      <c r="A18" t="inlineStr">
        <is>
          <t>09:05</t>
        </is>
      </c>
      <c r="B18" t="n">
        <v>5.061999797821045</v>
      </c>
      <c r="C18" t="n">
        <v>4.877999782562256</v>
      </c>
      <c r="D18" t="n">
        <v>101.96484375</v>
      </c>
      <c r="E18">
        <f>IF(B18="","",(B18-$B$6)*100)</f>
        <v/>
      </c>
      <c r="F18">
        <f>IF(D18="","",-(D18-$D$6)/$G$2)</f>
        <v/>
      </c>
    </row>
    <row r="19">
      <c r="A19" t="inlineStr">
        <is>
          <t>09:10</t>
        </is>
      </c>
      <c r="B19" t="n">
        <v>5.065999984741211</v>
      </c>
      <c r="C19" t="n">
        <v>4.883000373840332</v>
      </c>
      <c r="D19" t="n">
        <v>101.95703125</v>
      </c>
      <c r="E19">
        <f>IF(B19="","",(B19-$B$6)*100)</f>
        <v/>
      </c>
      <c r="F19">
        <f>IF(D19="","",-(D19-$D$6)/$G$2)</f>
        <v/>
      </c>
    </row>
    <row r="20">
      <c r="A20" t="inlineStr">
        <is>
          <t>09:15</t>
        </is>
      </c>
      <c r="B20" t="n">
        <v>5.053999900817871</v>
      </c>
      <c r="C20" t="n">
        <v>4.868000030517578</v>
      </c>
      <c r="D20" t="n">
        <v>101.98828125</v>
      </c>
      <c r="E20">
        <f>IF(B20="","",(B20-$B$6)*100)</f>
        <v/>
      </c>
      <c r="F20">
        <f>IF(D20="","",-(D20-$D$6)/$G$2)</f>
        <v/>
      </c>
    </row>
    <row r="21">
      <c r="A21" t="inlineStr">
        <is>
          <t>09:20</t>
        </is>
      </c>
      <c r="B21" t="n">
        <v>5.056000232696533</v>
      </c>
      <c r="C21" t="n">
        <v>4.869999885559082</v>
      </c>
      <c r="D21" t="n">
        <v>101.9765625</v>
      </c>
      <c r="E21">
        <f>IF(B21="","",(B21-$B$6)*100)</f>
        <v/>
      </c>
      <c r="F21">
        <f>IF(D21="","",-(D21-$D$6)/$G$2)</f>
        <v/>
      </c>
    </row>
    <row r="22">
      <c r="A22" t="inlineStr">
        <is>
          <t>09:25</t>
        </is>
      </c>
      <c r="B22" t="n">
        <v>5.045000076293945</v>
      </c>
      <c r="C22" t="n">
        <v>4.861000061035156</v>
      </c>
      <c r="D22" t="n">
        <v>101.9921875</v>
      </c>
      <c r="E22">
        <f>IF(B22="","",(B22-$B$6)*100)</f>
        <v/>
      </c>
      <c r="F22">
        <f>IF(D22="","",-(D22-$D$6)/$G$2)</f>
        <v/>
      </c>
    </row>
    <row r="23">
      <c r="A23" t="inlineStr">
        <is>
          <t>09:30</t>
        </is>
      </c>
      <c r="B23" t="n">
        <v>5.047999858856201</v>
      </c>
      <c r="C23" t="n">
        <v>4.855999946594238</v>
      </c>
      <c r="D23" t="n">
        <v>102.0078125</v>
      </c>
    </row>
    <row r="24">
      <c r="A24" t="inlineStr">
        <is>
          <t>Prior close</t>
        </is>
      </c>
      <c r="B24" t="n">
        <v>5.190000057220459</v>
      </c>
      <c r="C24" t="n">
        <v>4.992000102996826</v>
      </c>
      <c r="D24" t="n">
        <v>101.8359375</v>
      </c>
    </row>
    <row r="25">
      <c r="A25" t="inlineStr">
        <is>
          <t>Pre-release drift 10Y bp</t>
        </is>
      </c>
      <c r="B25">
        <f>(B6-B24)*100</f>
        <v/>
      </c>
    </row>
    <row r="26">
      <c r="A26" t="inlineStr">
        <is>
          <t>Release window 10Y bp (08:29→09:15)</t>
        </is>
      </c>
      <c r="B26">
        <f>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Ticker</t>
        </is>
      </c>
      <c r="B1" s="1" t="inlineStr">
        <is>
          <t>Group</t>
        </is>
      </c>
      <c r="C1" s="1" t="inlineStr">
        <is>
          <t>Prior close</t>
        </is>
      </c>
      <c r="D1" s="1" t="inlineStr">
        <is>
          <t>08:29 ET</t>
        </is>
      </c>
      <c r="E1" s="1" t="inlineStr">
        <is>
          <t>Last</t>
        </is>
      </c>
      <c r="F1" s="1" t="inlineStr">
        <is>
          <t>vs prior %</t>
        </is>
      </c>
      <c r="G1" s="1" t="inlineStr">
        <is>
          <t>Since 08:29 %</t>
        </is>
      </c>
      <c r="H1" s="1" t="inlineStr">
        <is>
          <t>Pre-release share of move</t>
        </is>
      </c>
    </row>
    <row r="2">
      <c r="A2" t="inlineStr">
        <is>
          <t>NVDA</t>
        </is>
      </c>
      <c r="B2" t="inlineStr">
        <is>
          <t>AI</t>
        </is>
      </c>
      <c r="C2" t="n">
        <v>221.3000030517578</v>
      </c>
      <c r="D2" t="n">
        <v>217.75</v>
      </c>
      <c r="E2" t="n">
        <v>213.4349975585938</v>
      </c>
      <c r="F2">
        <f>(E2/C2-1)*100</f>
        <v/>
      </c>
      <c r="G2">
        <f>IF(D2="","",(E2/D2-1)*100)</f>
        <v/>
      </c>
      <c r="H2">
        <f>IF(OR(D2="",F2=0),"",((D2/C2-1)*100)/F2)</f>
        <v/>
      </c>
    </row>
    <row r="3">
      <c r="A3" t="inlineStr">
        <is>
          <t>MU</t>
        </is>
      </c>
      <c r="B3" t="inlineStr">
        <is>
          <t>AI</t>
        </is>
      </c>
      <c r="C3" t="n">
        <v>914.1300048828125</v>
      </c>
      <c r="D3" t="n">
        <v>875.75</v>
      </c>
      <c r="E3" t="n">
        <v>867.8419189453125</v>
      </c>
      <c r="F3">
        <f>(E3/C3-1)*100</f>
        <v/>
      </c>
      <c r="G3">
        <f>IF(D3="","",(E3/D3-1)*100)</f>
        <v/>
      </c>
      <c r="H3">
        <f>IF(OR(D3="",F3=0),"",((D3/C3-1)*100)/F3)</f>
        <v/>
      </c>
    </row>
    <row r="4">
      <c r="A4" t="inlineStr">
        <is>
          <t>TSM</t>
        </is>
      </c>
      <c r="B4" t="inlineStr">
        <is>
          <t>AI</t>
        </is>
      </c>
      <c r="C4" t="n">
        <v>430</v>
      </c>
      <c r="D4" t="n">
        <v>419.76</v>
      </c>
      <c r="E4" t="n">
        <v>408.1650085449219</v>
      </c>
      <c r="F4">
        <f>(E4/C4-1)*100</f>
        <v/>
      </c>
      <c r="G4">
        <f>IF(D4="","",(E4/D4-1)*100)</f>
        <v/>
      </c>
      <c r="H4">
        <f>IF(OR(D4="",F4=0),"",((D4/C4-1)*100)/F4)</f>
        <v/>
      </c>
    </row>
    <row r="5">
      <c r="A5" t="inlineStr">
        <is>
          <t>AVGO</t>
        </is>
      </c>
      <c r="B5" t="inlineStr">
        <is>
          <t>AI</t>
        </is>
      </c>
      <c r="C5" t="n">
        <v>346.25</v>
      </c>
      <c r="D5" t="n">
        <v>341.19</v>
      </c>
      <c r="E5" t="n">
        <v>335.9800109863281</v>
      </c>
      <c r="F5">
        <f>(E5/C5-1)*100</f>
        <v/>
      </c>
      <c r="G5">
        <f>IF(D5="","",(E5/D5-1)*100)</f>
        <v/>
      </c>
      <c r="H5">
        <f>IF(OR(D5="",F5=0),"",((D5/C5-1)*100)/F5)</f>
        <v/>
      </c>
    </row>
    <row r="6">
      <c r="A6" t="inlineStr">
        <is>
          <t>ARM</t>
        </is>
      </c>
      <c r="B6" t="inlineStr">
        <is>
          <t>AI</t>
        </is>
      </c>
      <c r="C6" t="n">
        <v>238.0099945068359</v>
      </c>
      <c r="D6" t="n">
        <v>230.2</v>
      </c>
      <c r="E6" t="n">
        <v>228.0099945068359</v>
      </c>
      <c r="F6">
        <f>(E6/C6-1)*100</f>
        <v/>
      </c>
      <c r="G6">
        <f>IF(D6="","",(E6/D6-1)*100)</f>
        <v/>
      </c>
      <c r="H6">
        <f>IF(OR(D6="",F6=0),"",((D6/C6-1)*100)/F6)</f>
        <v/>
      </c>
    </row>
    <row r="7">
      <c r="A7" t="inlineStr">
        <is>
          <t>AMD</t>
        </is>
      </c>
      <c r="B7" t="inlineStr">
        <is>
          <t>AI</t>
        </is>
      </c>
      <c r="C7" t="n">
        <v>570.8200073242188</v>
      </c>
      <c r="D7" t="n">
        <v>553.89</v>
      </c>
      <c r="E7" t="n">
        <v>531.9299926757812</v>
      </c>
      <c r="F7">
        <f>(E7/C7-1)*100</f>
        <v/>
      </c>
      <c r="G7">
        <f>IF(D7="","",(E7/D7-1)*100)</f>
        <v/>
      </c>
      <c r="H7">
        <f>IF(OR(D7="",F7=0),"",((D7/C7-1)*100)/F7)</f>
        <v/>
      </c>
    </row>
    <row r="8">
      <c r="A8" t="inlineStr">
        <is>
          <t>MRVL</t>
        </is>
      </c>
      <c r="B8" t="inlineStr">
        <is>
          <t>AI</t>
        </is>
      </c>
      <c r="C8" t="n">
        <v>245.2799987792969</v>
      </c>
      <c r="D8" t="n">
        <v>235.3683</v>
      </c>
      <c r="E8" t="n">
        <v>228.7299957275391</v>
      </c>
      <c r="F8">
        <f>(E8/C8-1)*100</f>
        <v/>
      </c>
      <c r="G8">
        <f>IF(D8="","",(E8/D8-1)*100)</f>
        <v/>
      </c>
      <c r="H8">
        <f>IF(OR(D8="",F8=0),"",((D8/C8-1)*100)/F8)</f>
        <v/>
      </c>
    </row>
    <row r="9">
      <c r="A9" t="inlineStr">
        <is>
          <t>LITE</t>
        </is>
      </c>
      <c r="B9" t="inlineStr">
        <is>
          <t>AI</t>
        </is>
      </c>
      <c r="C9" t="n">
        <v>896.3300170898438</v>
      </c>
      <c r="D9" t="n">
        <v>857.25</v>
      </c>
      <c r="E9" t="n">
        <v>805.25</v>
      </c>
      <c r="F9">
        <f>(E9/C9-1)*100</f>
        <v/>
      </c>
      <c r="G9">
        <f>IF(D9="","",(E9/D9-1)*100)</f>
        <v/>
      </c>
      <c r="H9">
        <f>IF(OR(D9="",F9=0),"",((D9/C9-1)*100)/F9)</f>
        <v/>
      </c>
    </row>
    <row r="10">
      <c r="A10" t="inlineStr">
        <is>
          <t>CIEN</t>
        </is>
      </c>
      <c r="B10" t="inlineStr">
        <is>
          <t>AI</t>
        </is>
      </c>
      <c r="C10" t="n">
        <v>359.6000061035156</v>
      </c>
      <c r="D10" t="n">
        <v>343.3</v>
      </c>
      <c r="E10" t="n">
        <v>333.5799865722656</v>
      </c>
      <c r="F10">
        <f>(E10/C10-1)*100</f>
        <v/>
      </c>
      <c r="G10">
        <f>IF(D10="","",(E10/D10-1)*100)</f>
        <v/>
      </c>
      <c r="H10">
        <f>IF(OR(D10="",F10=0),"",((D10/C10-1)*100)/F10)</f>
        <v/>
      </c>
    </row>
    <row r="11">
      <c r="A11" t="inlineStr">
        <is>
          <t>COHR</t>
        </is>
      </c>
      <c r="B11" t="inlineStr">
        <is>
          <t>AI</t>
        </is>
      </c>
      <c r="C11" t="n">
        <v>263.3200073242188</v>
      </c>
      <c r="D11" t="n">
        <v>252.8</v>
      </c>
      <c r="E11" t="n">
        <v>236.1999969482422</v>
      </c>
      <c r="F11">
        <f>(E11/C11-1)*100</f>
        <v/>
      </c>
      <c r="G11">
        <f>IF(D11="","",(E11/D11-1)*100)</f>
        <v/>
      </c>
      <c r="H11">
        <f>IF(OR(D11="",F11=0),"",((D11/C11-1)*100)/F11)</f>
        <v/>
      </c>
    </row>
    <row r="12">
      <c r="A12" t="inlineStr">
        <is>
          <t>CRWV</t>
        </is>
      </c>
      <c r="B12" t="inlineStr">
        <is>
          <t>AI</t>
        </is>
      </c>
      <c r="C12" t="n">
        <v>65.77999877929688</v>
      </c>
      <c r="D12" t="n">
        <v>64.61</v>
      </c>
      <c r="E12" t="n">
        <v>59.93000030517578</v>
      </c>
      <c r="F12">
        <f>(E12/C12-1)*100</f>
        <v/>
      </c>
      <c r="G12">
        <f>IF(D12="","",(E12/D12-1)*100)</f>
        <v/>
      </c>
      <c r="H12">
        <f>IF(OR(D12="",F12=0),"",((D12/C12-1)*100)/F12)</f>
        <v/>
      </c>
    </row>
    <row r="13">
      <c r="A13" t="inlineStr">
        <is>
          <t>PLTR</t>
        </is>
      </c>
      <c r="B13" t="inlineStr">
        <is>
          <t>Rate</t>
        </is>
      </c>
      <c r="C13" t="n">
        <v>200.9700012207031</v>
      </c>
      <c r="D13" t="n">
        <v>195.7871</v>
      </c>
      <c r="E13" t="n">
        <v>193.7250061035156</v>
      </c>
      <c r="F13">
        <f>(E13/C13-1)*100</f>
        <v/>
      </c>
      <c r="G13">
        <f>IF(D13="","",(E13/D13-1)*100)</f>
        <v/>
      </c>
      <c r="H13">
        <f>IF(OR(D13="",F13=0),"",((D13/C13-1)*100)/F13)</f>
        <v/>
      </c>
    </row>
    <row r="14">
      <c r="A14" t="inlineStr">
        <is>
          <t>RKLB</t>
        </is>
      </c>
      <c r="B14" t="inlineStr">
        <is>
          <t>Rate</t>
        </is>
      </c>
      <c r="C14" t="n">
        <v>59.18000030517578</v>
      </c>
      <c r="D14" t="n">
        <v>53.71</v>
      </c>
      <c r="E14" t="n">
        <v>50.73500061035156</v>
      </c>
      <c r="F14">
        <f>(E14/C14-1)*100</f>
        <v/>
      </c>
      <c r="G14">
        <f>IF(D14="","",(E14/D14-1)*100)</f>
        <v/>
      </c>
      <c r="H14">
        <f>IF(OR(D14="",F14=0),"",((D14/C14-1)*100)/F14)</f>
        <v/>
      </c>
    </row>
    <row r="15">
      <c r="A15" t="inlineStr">
        <is>
          <t>CRWD</t>
        </is>
      </c>
      <c r="B15" t="inlineStr">
        <is>
          <t>Rate</t>
        </is>
      </c>
      <c r="C15" t="n">
        <v>249.2899932861328</v>
      </c>
      <c r="D15" t="n">
        <v>243.04</v>
      </c>
      <c r="E15" t="n">
        <v>242.7400054931641</v>
      </c>
      <c r="F15">
        <f>(E15/C15-1)*100</f>
        <v/>
      </c>
      <c r="G15">
        <f>IF(D15="","",(E15/D15-1)*100)</f>
        <v/>
      </c>
      <c r="H15">
        <f>IF(OR(D15="",F15=0),"",((D15/C15-1)*100)/F15)</f>
        <v/>
      </c>
    </row>
    <row r="16">
      <c r="A16" t="inlineStr">
        <is>
          <t>AAPL</t>
        </is>
      </c>
      <c r="B16" t="inlineStr">
        <is>
          <t>Cons</t>
        </is>
      </c>
      <c r="C16" t="n">
        <v>342.9599914550781</v>
      </c>
      <c r="D16" t="n">
        <v>345.0503</v>
      </c>
      <c r="E16" t="n">
        <v>345.1400146484375</v>
      </c>
      <c r="F16">
        <f>(E16/C16-1)*100</f>
        <v/>
      </c>
      <c r="G16">
        <f>IF(D16="","",(E16/D16-1)*100)</f>
        <v/>
      </c>
      <c r="H16">
        <f>IF(OR(D16="",F16=0),"",((D16/C16-1)*100)/F16)</f>
        <v/>
      </c>
    </row>
    <row r="17">
      <c r="A17" t="inlineStr">
        <is>
          <t>TSLA</t>
        </is>
      </c>
      <c r="B17" t="inlineStr">
        <is>
          <t>Cons</t>
        </is>
      </c>
      <c r="C17" t="n">
        <v>367.1600036621094</v>
      </c>
      <c r="D17" t="n">
        <v>362.19</v>
      </c>
      <c r="E17" t="n">
        <v>355.5799865722656</v>
      </c>
      <c r="F17">
        <f>(E17/C17-1)*100</f>
        <v/>
      </c>
      <c r="G17">
        <f>IF(D17="","",(E17/D17-1)*100)</f>
        <v/>
      </c>
      <c r="H17">
        <f>IF(OR(D17="",F17=0),"",((D17/C17-1)*100)/F17)</f>
        <v/>
      </c>
    </row>
    <row r="18">
      <c r="A18" t="inlineStr">
        <is>
          <t>CCL</t>
        </is>
      </c>
      <c r="B18" t="inlineStr">
        <is>
          <t>Cons</t>
        </is>
      </c>
      <c r="C18" t="n">
        <v>25.96999931335449</v>
      </c>
      <c r="D18" t="n">
        <v>26.01</v>
      </c>
      <c r="E18" t="n">
        <v>25.90999984741211</v>
      </c>
      <c r="F18">
        <f>(E18/C18-1)*100</f>
        <v/>
      </c>
      <c r="G18">
        <f>IF(D18="","",(E18/D18-1)*100)</f>
        <v/>
      </c>
      <c r="H18">
        <f>IF(OR(D18="",F18=0),"",((D18/C18-1)*100)/F18)</f>
        <v/>
      </c>
    </row>
    <row r="19">
      <c r="A19" t="inlineStr">
        <is>
          <t>AMZN</t>
        </is>
      </c>
      <c r="B19" t="inlineStr">
        <is>
          <t>Cons</t>
        </is>
      </c>
      <c r="C19" t="n">
        <v>254.0800018310547</v>
      </c>
      <c r="D19" t="n">
        <v>250.2</v>
      </c>
      <c r="E19" t="n">
        <v>249.9600067138672</v>
      </c>
      <c r="F19">
        <f>(E19/C19-1)*100</f>
        <v/>
      </c>
      <c r="G19">
        <f>IF(D19="","",(E19/D19-1)*100)</f>
        <v/>
      </c>
      <c r="H19">
        <f>IF(OR(D19="",F19=0),"",((D19/C19-1)*100)/F19)</f>
        <v/>
      </c>
    </row>
    <row r="20">
      <c r="A20" t="inlineStr">
        <is>
          <t>WMT</t>
        </is>
      </c>
      <c r="B20" t="inlineStr">
        <is>
          <t>Cons</t>
        </is>
      </c>
      <c r="C20" t="n">
        <v>116.1600036621094</v>
      </c>
      <c r="D20" t="n">
        <v>119.3725</v>
      </c>
      <c r="E20" t="n">
        <v>120.870002746582</v>
      </c>
      <c r="F20">
        <f>(E20/C20-1)*100</f>
        <v/>
      </c>
      <c r="G20">
        <f>IF(D20="","",(E20/D20-1)*100)</f>
        <v/>
      </c>
      <c r="H20">
        <f>IF(OR(D20="",F20=0),"",((D20/C20-1)*100)/F20)</f>
        <v/>
      </c>
    </row>
    <row r="21">
      <c r="A21" t="inlineStr">
        <is>
          <t>COST</t>
        </is>
      </c>
      <c r="B21" t="inlineStr">
        <is>
          <t>Cons</t>
        </is>
      </c>
      <c r="C21" t="n">
        <v>982</v>
      </c>
      <c r="D21" t="n">
        <v>994.5886</v>
      </c>
      <c r="E21" t="n">
        <v>1004.010009765625</v>
      </c>
      <c r="F21">
        <f>(E21/C21-1)*100</f>
        <v/>
      </c>
      <c r="G21">
        <f>IF(D21="","",(E21/D21-1)*100)</f>
        <v/>
      </c>
      <c r="H21">
        <f>IF(OR(D21="",F21=0),"",((D21/C21-1)*100)/F21)</f>
        <v/>
      </c>
    </row>
    <row r="22">
      <c r="A22" t="inlineStr">
        <is>
          <t>HD</t>
        </is>
      </c>
      <c r="B22" t="inlineStr">
        <is>
          <t>Cons</t>
        </is>
      </c>
      <c r="C22" t="n">
        <v>295.510009765625</v>
      </c>
      <c r="D22" t="n">
        <v>300.6</v>
      </c>
      <c r="E22" t="n">
        <v>307.0299987792969</v>
      </c>
      <c r="F22">
        <f>(E22/C22-1)*100</f>
        <v/>
      </c>
      <c r="G22">
        <f>IF(D22="","",(E22/D22-1)*100)</f>
        <v/>
      </c>
      <c r="H22">
        <f>IF(OR(D22="",F22=0),"",((D22/C22-1)*100)/F22)</f>
        <v/>
      </c>
    </row>
    <row r="23">
      <c r="A23" t="inlineStr">
        <is>
          <t>TGT</t>
        </is>
      </c>
      <c r="B23" t="inlineStr">
        <is>
          <t>Cons</t>
        </is>
      </c>
      <c r="C23" t="n">
        <v>155.3099975585938</v>
      </c>
      <c r="D23" t="n">
        <v>157.38</v>
      </c>
      <c r="E23" t="n">
        <v>157.1699981689453</v>
      </c>
      <c r="F23">
        <f>(E23/C23-1)*100</f>
        <v/>
      </c>
      <c r="G23">
        <f>IF(D23="","",(E23/D23-1)*100)</f>
        <v/>
      </c>
      <c r="H23">
        <f>IF(OR(D23="",F23=0),"",((D23/C23-1)*100)/F23)</f>
        <v/>
      </c>
    </row>
    <row r="24">
      <c r="A24" t="inlineStr">
        <is>
          <t>XRT</t>
        </is>
      </c>
      <c r="B24" t="inlineStr">
        <is>
          <t>Cons</t>
        </is>
      </c>
      <c r="C24" t="n">
        <v>84.69999694824219</v>
      </c>
      <c r="D24" t="n">
        <v>84.81999999999999</v>
      </c>
      <c r="E24" t="n">
        <v>87.01000213623047</v>
      </c>
      <c r="F24">
        <f>(E24/C24-1)*100</f>
        <v/>
      </c>
      <c r="G24">
        <f>IF(D24="","",(E24/D24-1)*100)</f>
        <v/>
      </c>
      <c r="H24">
        <f>IF(OR(D24="",F24=0),"",((D24/C24-1)*100)/F24)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 ET</t>
        </is>
      </c>
      <c r="B1" s="1" t="inlineStr">
        <is>
          <t>Oct hike last</t>
        </is>
      </c>
      <c r="C1" s="1" t="inlineStr">
        <is>
          <t>Oct hike mid</t>
        </is>
      </c>
      <c r="E1" t="inlineStr">
        <is>
          <t>Prior-day ref</t>
        </is>
      </c>
      <c r="F1" t="n">
        <v>0.43</v>
      </c>
    </row>
    <row r="2">
      <c r="A2" t="inlineStr">
        <is>
          <t>06:05</t>
        </is>
      </c>
      <c r="C2" t="n">
        <v>0.235</v>
      </c>
      <c r="E2" t="inlineStr">
        <is>
          <t>Max last 08:30–09:15 ET</t>
        </is>
      </c>
      <c r="F2">
        <f>MAX(B56:B92)</f>
        <v/>
      </c>
    </row>
    <row r="3">
      <c r="A3" t="inlineStr">
        <is>
          <t>06:06</t>
        </is>
      </c>
      <c r="B3" t="n">
        <v>0.23</v>
      </c>
      <c r="C3" t="n">
        <v>0.235</v>
      </c>
    </row>
    <row r="4">
      <c r="A4" t="inlineStr">
        <is>
          <t>06:07</t>
        </is>
      </c>
      <c r="C4" t="n">
        <v>0.235</v>
      </c>
    </row>
    <row r="5">
      <c r="A5" t="inlineStr">
        <is>
          <t>06:08</t>
        </is>
      </c>
      <c r="C5" t="n">
        <v>0.235</v>
      </c>
    </row>
    <row r="6">
      <c r="A6" t="inlineStr">
        <is>
          <t>06:10</t>
        </is>
      </c>
      <c r="C6" t="n">
        <v>0.235</v>
      </c>
    </row>
    <row r="7">
      <c r="A7" t="inlineStr">
        <is>
          <t>06:14</t>
        </is>
      </c>
      <c r="B7" t="n">
        <v>0.24</v>
      </c>
      <c r="C7" t="n">
        <v>0.235</v>
      </c>
    </row>
    <row r="8">
      <c r="A8" t="inlineStr">
        <is>
          <t>06:18</t>
        </is>
      </c>
      <c r="B8" t="n">
        <v>0.24</v>
      </c>
      <c r="C8" t="n">
        <v>0.235</v>
      </c>
    </row>
    <row r="9">
      <c r="A9" t="inlineStr">
        <is>
          <t>06:32</t>
        </is>
      </c>
      <c r="C9" t="n">
        <v>0.235</v>
      </c>
    </row>
    <row r="10">
      <c r="A10" t="inlineStr">
        <is>
          <t>06:39</t>
        </is>
      </c>
      <c r="C10" t="n">
        <v>0.235</v>
      </c>
    </row>
    <row r="11">
      <c r="A11" t="inlineStr">
        <is>
          <t>06:40</t>
        </is>
      </c>
      <c r="C11" t="n">
        <v>0.235</v>
      </c>
    </row>
    <row r="12">
      <c r="A12" t="inlineStr">
        <is>
          <t>06:41</t>
        </is>
      </c>
      <c r="C12" t="n">
        <v>0.235</v>
      </c>
    </row>
    <row r="13">
      <c r="A13" t="inlineStr">
        <is>
          <t>06:42</t>
        </is>
      </c>
      <c r="B13" t="n">
        <v>0.24</v>
      </c>
      <c r="C13" t="n">
        <v>0.255</v>
      </c>
    </row>
    <row r="14">
      <c r="A14" t="inlineStr">
        <is>
          <t>06:43</t>
        </is>
      </c>
      <c r="C14" t="n">
        <v>0.255</v>
      </c>
    </row>
    <row r="15">
      <c r="A15" t="inlineStr">
        <is>
          <t>06:44</t>
        </is>
      </c>
      <c r="B15" t="n">
        <v>0.24</v>
      </c>
      <c r="C15" t="n">
        <v>0.26</v>
      </c>
    </row>
    <row r="16">
      <c r="A16" t="inlineStr">
        <is>
          <t>06:46</t>
        </is>
      </c>
      <c r="C16" t="n">
        <v>0.26</v>
      </c>
    </row>
    <row r="17">
      <c r="A17" t="inlineStr">
        <is>
          <t>06:47</t>
        </is>
      </c>
      <c r="C17" t="n">
        <v>0.26</v>
      </c>
    </row>
    <row r="18">
      <c r="A18" t="inlineStr">
        <is>
          <t>06:48</t>
        </is>
      </c>
      <c r="B18" t="n">
        <v>0.27</v>
      </c>
      <c r="C18" t="n">
        <v>0.26</v>
      </c>
    </row>
    <row r="19">
      <c r="A19" t="inlineStr">
        <is>
          <t>06:49</t>
        </is>
      </c>
      <c r="C19" t="n">
        <v>0.26</v>
      </c>
    </row>
    <row r="20">
      <c r="A20" t="inlineStr">
        <is>
          <t>06:52</t>
        </is>
      </c>
      <c r="C20" t="n">
        <v>0.26</v>
      </c>
    </row>
    <row r="21">
      <c r="A21" t="inlineStr">
        <is>
          <t>06:54</t>
        </is>
      </c>
      <c r="C21" t="n">
        <v>0.26</v>
      </c>
    </row>
    <row r="22">
      <c r="A22" t="inlineStr">
        <is>
          <t>06:55</t>
        </is>
      </c>
      <c r="C22" t="n">
        <v>0.26</v>
      </c>
    </row>
    <row r="23">
      <c r="A23" t="inlineStr">
        <is>
          <t>06:57</t>
        </is>
      </c>
      <c r="C23" t="n">
        <v>0.265</v>
      </c>
    </row>
    <row r="24">
      <c r="A24" t="inlineStr">
        <is>
          <t>07:00</t>
        </is>
      </c>
      <c r="C24" t="n">
        <v>0.265</v>
      </c>
    </row>
    <row r="25">
      <c r="A25" t="inlineStr">
        <is>
          <t>07:03</t>
        </is>
      </c>
      <c r="C25" t="n">
        <v>0.265</v>
      </c>
    </row>
    <row r="26">
      <c r="A26" t="inlineStr">
        <is>
          <t>07:08</t>
        </is>
      </c>
      <c r="C26" t="n">
        <v>0.265</v>
      </c>
    </row>
    <row r="27">
      <c r="A27" t="inlineStr">
        <is>
          <t>07:12</t>
        </is>
      </c>
      <c r="C27" t="n">
        <v>0.265</v>
      </c>
    </row>
    <row r="28">
      <c r="A28" t="inlineStr">
        <is>
          <t>07:15</t>
        </is>
      </c>
      <c r="C28" t="n">
        <v>0.265</v>
      </c>
    </row>
    <row r="29">
      <c r="A29" t="inlineStr">
        <is>
          <t>07:17</t>
        </is>
      </c>
      <c r="C29" t="n">
        <v>0.265</v>
      </c>
    </row>
    <row r="30">
      <c r="A30" t="inlineStr">
        <is>
          <t>07:20</t>
        </is>
      </c>
      <c r="C30" t="n">
        <v>0.265</v>
      </c>
    </row>
    <row r="31">
      <c r="A31" t="inlineStr">
        <is>
          <t>07:25</t>
        </is>
      </c>
      <c r="C31" t="n">
        <v>0.265</v>
      </c>
    </row>
    <row r="32">
      <c r="A32" t="inlineStr">
        <is>
          <t>07:26</t>
        </is>
      </c>
      <c r="B32" t="n">
        <v>0.28</v>
      </c>
      <c r="C32" t="n">
        <v>0.27</v>
      </c>
    </row>
    <row r="33">
      <c r="A33" t="inlineStr">
        <is>
          <t>07:35</t>
        </is>
      </c>
      <c r="B33" t="n">
        <v>0.25</v>
      </c>
      <c r="C33" t="n">
        <v>0.265</v>
      </c>
    </row>
    <row r="34">
      <c r="A34" t="inlineStr">
        <is>
          <t>07:36</t>
        </is>
      </c>
      <c r="C34" t="n">
        <v>0.265</v>
      </c>
    </row>
    <row r="35">
      <c r="A35" t="inlineStr">
        <is>
          <t>07:37</t>
        </is>
      </c>
      <c r="C35" t="n">
        <v>0.265</v>
      </c>
    </row>
    <row r="36">
      <c r="A36" t="inlineStr">
        <is>
          <t>07:38</t>
        </is>
      </c>
      <c r="C36" t="n">
        <v>0.265</v>
      </c>
    </row>
    <row r="37">
      <c r="A37" t="inlineStr">
        <is>
          <t>07:39</t>
        </is>
      </c>
      <c r="C37" t="n">
        <v>0.265</v>
      </c>
    </row>
    <row r="38">
      <c r="A38" t="inlineStr">
        <is>
          <t>07:42</t>
        </is>
      </c>
      <c r="C38" t="n">
        <v>0.27</v>
      </c>
    </row>
    <row r="39">
      <c r="A39" t="inlineStr">
        <is>
          <t>07:44</t>
        </is>
      </c>
      <c r="C39" t="n">
        <v>0.27</v>
      </c>
    </row>
    <row r="40">
      <c r="A40" t="inlineStr">
        <is>
          <t>07:45</t>
        </is>
      </c>
      <c r="C40" t="n">
        <v>0.27</v>
      </c>
    </row>
    <row r="41">
      <c r="A41" t="inlineStr">
        <is>
          <t>07:58</t>
        </is>
      </c>
      <c r="B41" t="n">
        <v>0.28</v>
      </c>
      <c r="C41" t="n">
        <v>0.27</v>
      </c>
    </row>
    <row r="42">
      <c r="A42" t="inlineStr">
        <is>
          <t>07:59</t>
        </is>
      </c>
      <c r="B42" t="n">
        <v>0.28</v>
      </c>
      <c r="C42" t="n">
        <v>0.27</v>
      </c>
    </row>
    <row r="43">
      <c r="A43" t="inlineStr">
        <is>
          <t>08:00</t>
        </is>
      </c>
      <c r="C43" t="n">
        <v>0.27</v>
      </c>
    </row>
    <row r="44">
      <c r="A44" t="inlineStr">
        <is>
          <t>08:01</t>
        </is>
      </c>
      <c r="B44" t="n">
        <v>0.28</v>
      </c>
      <c r="C44" t="n">
        <v>0.27</v>
      </c>
    </row>
    <row r="45">
      <c r="A45" t="inlineStr">
        <is>
          <t>08:02</t>
        </is>
      </c>
      <c r="B45" t="n">
        <v>0.28</v>
      </c>
      <c r="C45" t="n">
        <v>0.27</v>
      </c>
    </row>
    <row r="46">
      <c r="A46" t="inlineStr">
        <is>
          <t>08:03</t>
        </is>
      </c>
      <c r="B46" t="n">
        <v>0.28</v>
      </c>
      <c r="C46" t="n">
        <v>0.27</v>
      </c>
    </row>
    <row r="47">
      <c r="A47" t="inlineStr">
        <is>
          <t>08:06</t>
        </is>
      </c>
      <c r="C47" t="n">
        <v>0.27</v>
      </c>
    </row>
    <row r="48">
      <c r="A48" t="inlineStr">
        <is>
          <t>08:10</t>
        </is>
      </c>
      <c r="B48" t="n">
        <v>0.28</v>
      </c>
      <c r="C48" t="n">
        <v>0.275</v>
      </c>
    </row>
    <row r="49">
      <c r="A49" t="inlineStr">
        <is>
          <t>08:11</t>
        </is>
      </c>
      <c r="B49" t="n">
        <v>0.28</v>
      </c>
      <c r="C49" t="n">
        <v>0.275</v>
      </c>
    </row>
    <row r="50">
      <c r="A50" t="inlineStr">
        <is>
          <t>08:12</t>
        </is>
      </c>
      <c r="B50" t="n">
        <v>0.28</v>
      </c>
      <c r="C50" t="n">
        <v>0.275</v>
      </c>
    </row>
    <row r="51">
      <c r="A51" t="inlineStr">
        <is>
          <t>08:16</t>
        </is>
      </c>
      <c r="B51" t="n">
        <v>0.28</v>
      </c>
      <c r="C51" t="n">
        <v>0.275</v>
      </c>
    </row>
    <row r="52">
      <c r="A52" t="inlineStr">
        <is>
          <t>08:22</t>
        </is>
      </c>
      <c r="B52" t="n">
        <v>0.28</v>
      </c>
      <c r="C52" t="n">
        <v>0.275</v>
      </c>
    </row>
    <row r="53">
      <c r="A53" t="inlineStr">
        <is>
          <t>08:24</t>
        </is>
      </c>
      <c r="B53" t="n">
        <v>0.28</v>
      </c>
      <c r="C53" t="n">
        <v>0.275</v>
      </c>
    </row>
    <row r="54">
      <c r="A54" t="inlineStr">
        <is>
          <t>08:25</t>
        </is>
      </c>
      <c r="C54" t="n">
        <v>0.275</v>
      </c>
    </row>
    <row r="55">
      <c r="A55" t="inlineStr">
        <is>
          <t>08:29</t>
        </is>
      </c>
      <c r="B55" t="n">
        <v>0.28</v>
      </c>
      <c r="C55" t="n">
        <v>0.275</v>
      </c>
    </row>
    <row r="56">
      <c r="A56" t="inlineStr">
        <is>
          <t>08:31</t>
        </is>
      </c>
      <c r="B56" t="n">
        <v>0.36</v>
      </c>
      <c r="C56" t="n">
        <v>0.34</v>
      </c>
    </row>
    <row r="57">
      <c r="A57" t="inlineStr">
        <is>
          <t>08:32</t>
        </is>
      </c>
      <c r="B57" t="n">
        <v>0.31</v>
      </c>
      <c r="C57" t="n">
        <v>0.325</v>
      </c>
    </row>
    <row r="58">
      <c r="A58" t="inlineStr">
        <is>
          <t>08:33</t>
        </is>
      </c>
      <c r="B58" t="n">
        <v>0.36</v>
      </c>
      <c r="C58" t="n">
        <v>0.34</v>
      </c>
    </row>
    <row r="59">
      <c r="A59" t="inlineStr">
        <is>
          <t>08:34</t>
        </is>
      </c>
      <c r="B59" t="n">
        <v>0.34</v>
      </c>
      <c r="C59" t="n">
        <v>0.32</v>
      </c>
    </row>
    <row r="60">
      <c r="A60" t="inlineStr">
        <is>
          <t>08:35</t>
        </is>
      </c>
      <c r="B60" t="n">
        <v>0.34</v>
      </c>
      <c r="C60" t="n">
        <v>0.325</v>
      </c>
    </row>
    <row r="61">
      <c r="A61" t="inlineStr">
        <is>
          <t>08:36</t>
        </is>
      </c>
      <c r="B61" t="n">
        <v>0.35</v>
      </c>
      <c r="C61" t="n">
        <v>0.34</v>
      </c>
    </row>
    <row r="62">
      <c r="A62" t="inlineStr">
        <is>
          <t>08:37</t>
        </is>
      </c>
      <c r="B62" t="n">
        <v>0.33</v>
      </c>
      <c r="C62" t="n">
        <v>0.315</v>
      </c>
    </row>
    <row r="63">
      <c r="A63" t="inlineStr">
        <is>
          <t>08:38</t>
        </is>
      </c>
      <c r="B63" t="n">
        <v>0.3</v>
      </c>
      <c r="C63" t="n">
        <v>0.295</v>
      </c>
    </row>
    <row r="64">
      <c r="A64" t="inlineStr">
        <is>
          <t>08:39</t>
        </is>
      </c>
      <c r="B64" t="n">
        <v>0.28</v>
      </c>
      <c r="C64" t="n">
        <v>0.29</v>
      </c>
    </row>
    <row r="65">
      <c r="A65" t="inlineStr">
        <is>
          <t>08:40</t>
        </is>
      </c>
      <c r="B65" t="n">
        <v>0.29</v>
      </c>
      <c r="C65" t="n">
        <v>0.29</v>
      </c>
    </row>
    <row r="66">
      <c r="A66" t="inlineStr">
        <is>
          <t>08:41</t>
        </is>
      </c>
      <c r="B66" t="n">
        <v>0.27</v>
      </c>
      <c r="C66" t="n">
        <v>0.28</v>
      </c>
    </row>
    <row r="67">
      <c r="A67" t="inlineStr">
        <is>
          <t>08:42</t>
        </is>
      </c>
      <c r="C67" t="n">
        <v>0.28</v>
      </c>
    </row>
    <row r="68">
      <c r="A68" t="inlineStr">
        <is>
          <t>08:43</t>
        </is>
      </c>
      <c r="C68" t="n">
        <v>0.275</v>
      </c>
    </row>
    <row r="69">
      <c r="A69" t="inlineStr">
        <is>
          <t>08:44</t>
        </is>
      </c>
      <c r="B69" t="n">
        <v>0.28</v>
      </c>
      <c r="C69" t="n">
        <v>0.275</v>
      </c>
    </row>
    <row r="70">
      <c r="A70" t="inlineStr">
        <is>
          <t>08:45</t>
        </is>
      </c>
      <c r="B70" t="n">
        <v>0.28</v>
      </c>
      <c r="C70" t="n">
        <v>0.275</v>
      </c>
    </row>
    <row r="71">
      <c r="A71" t="inlineStr">
        <is>
          <t>08:47</t>
        </is>
      </c>
      <c r="B71" t="n">
        <v>0.27</v>
      </c>
      <c r="C71" t="n">
        <v>0.275</v>
      </c>
    </row>
    <row r="72">
      <c r="A72" t="inlineStr">
        <is>
          <t>08:48</t>
        </is>
      </c>
      <c r="B72" t="n">
        <v>0.28</v>
      </c>
      <c r="C72" t="n">
        <v>0.285</v>
      </c>
    </row>
    <row r="73">
      <c r="A73" t="inlineStr">
        <is>
          <t>08:49</t>
        </is>
      </c>
      <c r="B73" t="n">
        <v>0.29</v>
      </c>
      <c r="C73" t="n">
        <v>0.285</v>
      </c>
    </row>
    <row r="74">
      <c r="A74" t="inlineStr">
        <is>
          <t>08:50</t>
        </is>
      </c>
      <c r="B74" t="n">
        <v>0.29</v>
      </c>
      <c r="C74" t="n">
        <v>0.295</v>
      </c>
    </row>
    <row r="75">
      <c r="A75" t="inlineStr">
        <is>
          <t>08:51</t>
        </is>
      </c>
      <c r="C75" t="n">
        <v>0.295</v>
      </c>
    </row>
    <row r="76">
      <c r="A76" t="inlineStr">
        <is>
          <t>08:52</t>
        </is>
      </c>
      <c r="B76" t="n">
        <v>0.3</v>
      </c>
      <c r="C76" t="n">
        <v>0.295</v>
      </c>
    </row>
    <row r="77">
      <c r="A77" t="inlineStr">
        <is>
          <t>08:53</t>
        </is>
      </c>
      <c r="C77" t="n">
        <v>0.295</v>
      </c>
    </row>
    <row r="78">
      <c r="A78" t="inlineStr">
        <is>
          <t>08:54</t>
        </is>
      </c>
      <c r="C78" t="n">
        <v>0.295</v>
      </c>
    </row>
    <row r="79">
      <c r="A79" t="inlineStr">
        <is>
          <t>08:55</t>
        </is>
      </c>
      <c r="C79" t="n">
        <v>0.295</v>
      </c>
    </row>
    <row r="80">
      <c r="A80" t="inlineStr">
        <is>
          <t>08:57</t>
        </is>
      </c>
      <c r="C80" t="n">
        <v>0.295</v>
      </c>
    </row>
    <row r="81">
      <c r="A81" t="inlineStr">
        <is>
          <t>09:00</t>
        </is>
      </c>
      <c r="C81" t="n">
        <v>0.295</v>
      </c>
    </row>
    <row r="82">
      <c r="A82" t="inlineStr">
        <is>
          <t>09:02</t>
        </is>
      </c>
      <c r="B82" t="n">
        <v>0.29</v>
      </c>
      <c r="C82" t="n">
        <v>0.275</v>
      </c>
    </row>
    <row r="83">
      <c r="A83" t="inlineStr">
        <is>
          <t>09:03</t>
        </is>
      </c>
      <c r="B83" t="n">
        <v>0.28</v>
      </c>
      <c r="C83" t="n">
        <v>0.275</v>
      </c>
    </row>
    <row r="84">
      <c r="A84" t="inlineStr">
        <is>
          <t>09:04</t>
        </is>
      </c>
      <c r="B84" t="n">
        <v>0.28</v>
      </c>
      <c r="C84" t="n">
        <v>0.275</v>
      </c>
    </row>
    <row r="85">
      <c r="A85" t="inlineStr">
        <is>
          <t>09:05</t>
        </is>
      </c>
      <c r="C85" t="n">
        <v>0.275</v>
      </c>
    </row>
    <row r="86">
      <c r="A86" t="inlineStr">
        <is>
          <t>09:06</t>
        </is>
      </c>
      <c r="B86" t="n">
        <v>0.28</v>
      </c>
      <c r="C86" t="n">
        <v>0.275</v>
      </c>
    </row>
    <row r="87">
      <c r="A87" t="inlineStr">
        <is>
          <t>09:07</t>
        </is>
      </c>
      <c r="B87" t="n">
        <v>0.28</v>
      </c>
      <c r="C87" t="n">
        <v>0.275</v>
      </c>
    </row>
    <row r="88">
      <c r="A88" t="inlineStr">
        <is>
          <t>09:09</t>
        </is>
      </c>
      <c r="C88" t="n">
        <v>0.275</v>
      </c>
    </row>
    <row r="89">
      <c r="A89" t="inlineStr">
        <is>
          <t>09:11</t>
        </is>
      </c>
      <c r="B89" t="n">
        <v>0.28</v>
      </c>
      <c r="C89" t="n">
        <v>0.275</v>
      </c>
    </row>
    <row r="90">
      <c r="A90" t="inlineStr">
        <is>
          <t>09:13</t>
        </is>
      </c>
      <c r="C90" t="n">
        <v>0.275</v>
      </c>
    </row>
    <row r="91">
      <c r="A91" t="inlineStr">
        <is>
          <t>09:14</t>
        </is>
      </c>
      <c r="B91" t="n">
        <v>0.27</v>
      </c>
      <c r="C91" t="n">
        <v>0.275</v>
      </c>
    </row>
    <row r="92">
      <c r="A92" t="inlineStr">
        <is>
          <t>09:15</t>
        </is>
      </c>
      <c r="B92" t="n">
        <v>0.28</v>
      </c>
      <c r="C92" t="n">
        <v>0.275</v>
      </c>
    </row>
    <row r="93">
      <c r="A93" t="inlineStr">
        <is>
          <t>09:16</t>
        </is>
      </c>
      <c r="B93" t="n">
        <v>0.26</v>
      </c>
      <c r="C93" t="n">
        <v>0.265</v>
      </c>
    </row>
    <row r="94">
      <c r="A94" t="inlineStr">
        <is>
          <t>09:17</t>
        </is>
      </c>
      <c r="B94" t="n">
        <v>0.28</v>
      </c>
      <c r="C94" t="n">
        <v>0.275</v>
      </c>
    </row>
    <row r="95">
      <c r="A95" t="inlineStr">
        <is>
          <t>09:18</t>
        </is>
      </c>
      <c r="C95" t="n">
        <v>0.275</v>
      </c>
    </row>
    <row r="96">
      <c r="A96" t="inlineStr">
        <is>
          <t>09:19</t>
        </is>
      </c>
      <c r="B96" t="n">
        <v>0.28</v>
      </c>
      <c r="C96" t="n">
        <v>0.275</v>
      </c>
    </row>
    <row r="97">
      <c r="A97" t="inlineStr">
        <is>
          <t>09:20</t>
        </is>
      </c>
      <c r="B97" t="n">
        <v>0.27</v>
      </c>
      <c r="C97" t="n">
        <v>0.275</v>
      </c>
    </row>
    <row r="98">
      <c r="A98" t="inlineStr">
        <is>
          <t>09:21</t>
        </is>
      </c>
      <c r="B98" t="n">
        <v>0.28</v>
      </c>
      <c r="C98" t="n">
        <v>0.28</v>
      </c>
    </row>
    <row r="99">
      <c r="A99" t="inlineStr">
        <is>
          <t>09:22</t>
        </is>
      </c>
      <c r="B99" t="n">
        <v>0.28</v>
      </c>
      <c r="C99" t="n">
        <v>0.285</v>
      </c>
    </row>
    <row r="100">
      <c r="A100" t="inlineStr">
        <is>
          <t>09:23</t>
        </is>
      </c>
      <c r="B100" t="n">
        <v>0.28</v>
      </c>
      <c r="C100" t="n">
        <v>0.285</v>
      </c>
    </row>
    <row r="101">
      <c r="A101" t="inlineStr">
        <is>
          <t>09:24</t>
        </is>
      </c>
      <c r="B101" t="n">
        <v>0.29</v>
      </c>
      <c r="C101" t="n">
        <v>0.285</v>
      </c>
    </row>
    <row r="102">
      <c r="A102" t="inlineStr">
        <is>
          <t>09:25</t>
        </is>
      </c>
      <c r="C102" t="n">
        <v>0.285</v>
      </c>
    </row>
    <row r="103">
      <c r="A103" t="inlineStr">
        <is>
          <t>09:26</t>
        </is>
      </c>
      <c r="C103" t="n">
        <v>0.285</v>
      </c>
    </row>
    <row r="104">
      <c r="A104" t="inlineStr">
        <is>
          <t>09:27</t>
        </is>
      </c>
      <c r="B104" t="n">
        <v>0.29</v>
      </c>
      <c r="C104" t="n">
        <v>0.285</v>
      </c>
    </row>
    <row r="105">
      <c r="A105" t="inlineStr">
        <is>
          <t>09:28</t>
        </is>
      </c>
      <c r="C105" t="n">
        <v>0.285</v>
      </c>
    </row>
    <row r="106">
      <c r="A106" t="inlineStr">
        <is>
          <t>09:29</t>
        </is>
      </c>
      <c r="B106" t="n">
        <v>0.28</v>
      </c>
      <c r="C106" t="n">
        <v>0.285</v>
      </c>
    </row>
    <row r="107">
      <c r="A107" t="inlineStr">
        <is>
          <t>09:30</t>
        </is>
      </c>
      <c r="C107" t="n">
        <v>0.285</v>
      </c>
    </row>
    <row r="108">
      <c r="A108" t="inlineStr">
        <is>
          <t>09:31</t>
        </is>
      </c>
      <c r="C108" t="n">
        <v>0.285</v>
      </c>
    </row>
    <row r="109">
      <c r="A109" t="inlineStr">
        <is>
          <t>09:32</t>
        </is>
      </c>
      <c r="C109" t="n">
        <v>0.285</v>
      </c>
    </row>
    <row r="110">
      <c r="A110" t="inlineStr">
        <is>
          <t>09:35</t>
        </is>
      </c>
      <c r="B110" t="n">
        <v>0.27</v>
      </c>
      <c r="C110" t="n">
        <v>0.265</v>
      </c>
    </row>
    <row r="111">
      <c r="A111" t="inlineStr">
        <is>
          <t>09:36</t>
        </is>
      </c>
      <c r="B111" t="n">
        <v>0.27</v>
      </c>
      <c r="C111" t="n">
        <v>0.265</v>
      </c>
    </row>
    <row r="112">
      <c r="A112" t="inlineStr">
        <is>
          <t>09:37</t>
        </is>
      </c>
      <c r="C112" t="n">
        <v>0.265</v>
      </c>
    </row>
    <row r="113">
      <c r="A113" t="inlineStr">
        <is>
          <t>09:38</t>
        </is>
      </c>
      <c r="C113" t="n">
        <v>0.265</v>
      </c>
    </row>
    <row r="114">
      <c r="A114" t="inlineStr">
        <is>
          <t>09:39</t>
        </is>
      </c>
      <c r="B114" t="n">
        <v>0.28</v>
      </c>
      <c r="C114" t="n">
        <v>0.275</v>
      </c>
    </row>
    <row r="115">
      <c r="A115" t="inlineStr">
        <is>
          <t>09:40</t>
        </is>
      </c>
      <c r="C115" t="n">
        <v>0.275</v>
      </c>
    </row>
    <row r="116">
      <c r="A116" t="inlineStr">
        <is>
          <t>09:41</t>
        </is>
      </c>
      <c r="C116" t="n">
        <v>0.275</v>
      </c>
    </row>
    <row r="117">
      <c r="A117" t="inlineStr">
        <is>
          <t>09:42</t>
        </is>
      </c>
      <c r="B117" t="n">
        <v>0.27</v>
      </c>
      <c r="C117" t="n">
        <v>0.275</v>
      </c>
    </row>
    <row r="118">
      <c r="A118" t="inlineStr">
        <is>
          <t>09:43</t>
        </is>
      </c>
      <c r="B118" t="n">
        <v>0.27</v>
      </c>
      <c r="C118" t="n">
        <v>0.275</v>
      </c>
    </row>
    <row r="119">
      <c r="A119" t="inlineStr">
        <is>
          <t>09:44</t>
        </is>
      </c>
      <c r="C119" t="n">
        <v>0.275</v>
      </c>
    </row>
    <row r="120">
      <c r="A120" t="inlineStr">
        <is>
          <t>09:45</t>
        </is>
      </c>
      <c r="B120" t="n">
        <v>0.28</v>
      </c>
      <c r="C120" t="n">
        <v>0.275</v>
      </c>
    </row>
    <row r="121">
      <c r="A121" t="inlineStr">
        <is>
          <t>09:46</t>
        </is>
      </c>
      <c r="C121" t="n">
        <v>0.275</v>
      </c>
    </row>
    <row r="122">
      <c r="A122" t="inlineStr">
        <is>
          <t>09:47</t>
        </is>
      </c>
      <c r="C122" t="n">
        <v>0.275</v>
      </c>
    </row>
    <row r="123">
      <c r="A123" t="inlineStr">
        <is>
          <t>09:48</t>
        </is>
      </c>
      <c r="B123" t="n">
        <v>0.27</v>
      </c>
      <c r="C123" t="n">
        <v>0.275</v>
      </c>
    </row>
    <row r="124">
      <c r="A124" t="inlineStr">
        <is>
          <t>09:49</t>
        </is>
      </c>
      <c r="C124" t="n">
        <v>0.275</v>
      </c>
    </row>
    <row r="125">
      <c r="A125" t="inlineStr">
        <is>
          <t>09:56</t>
        </is>
      </c>
      <c r="C125" t="n">
        <v>0.275</v>
      </c>
    </row>
    <row r="126">
      <c r="A126" t="inlineStr">
        <is>
          <t>09:57</t>
        </is>
      </c>
      <c r="B126" t="n">
        <v>0.27</v>
      </c>
      <c r="C126" t="n">
        <v>0.265</v>
      </c>
    </row>
    <row r="127">
      <c r="A127" t="inlineStr">
        <is>
          <t>09:58</t>
        </is>
      </c>
      <c r="B127" t="n">
        <v>0.26</v>
      </c>
      <c r="C127" t="n">
        <v>0.27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Time</t>
        </is>
      </c>
    </row>
    <row r="2">
      <c r="A2" t="inlineStr">
        <is>
          <t>实际值</t>
        </is>
      </c>
      <c r="B2" t="inlineStr">
        <is>
          <t>BLS public API v1: SA indexes for MoM (WPSFD4, WPSFD49104, WPSFD49116), NSA for YoY (WPUFD4…); * = NSA series (no SA published)</t>
        </is>
      </c>
      <c r="C2" t="inlineStr">
        <is>
          <t>官方 / OS 计算</t>
        </is>
      </c>
      <c r="D2" t="inlineStr">
        <is>
          <t>2026-10-15 20:30 SGT</t>
        </is>
      </c>
    </row>
    <row r="3">
      <c r="A3" t="inlineStr">
        <is>
          <t>共识（锁定）</t>
        </is>
      </c>
      <c r="B3" t="inlineStr">
        <is>
          <t>Helious 2026-10-14</t>
        </is>
      </c>
      <c r="C3" t="inlineStr">
        <is>
          <t>MARKET EXP（锁定于 2026-10-14T18:06）</t>
        </is>
      </c>
      <c r="D3" t="inlineStr">
        <is>
          <t>v20261014-1806</t>
        </is>
      </c>
    </row>
    <row r="4">
      <c r="A4" t="inlineStr">
        <is>
          <t>备选共识（未锁定，仅对照）</t>
        </is>
      </c>
      <c r="B4" t="inlineStr">
        <is>
          <t>Dow Jones via CNBC 10/15: PPI +0.6% m/m / 5.5% y/y</t>
        </is>
      </c>
      <c r="C4" t="inlineStr">
        <is>
          <t>MARKET EXP（第二来源）</t>
        </is>
      </c>
      <c r="D4" t="inlineStr">
        <is>
          <t>CNBC 2026-10-15 08:32 ET</t>
        </is>
      </c>
    </row>
    <row r="5">
      <c r="A5" t="inlineStr">
        <is>
          <t>利率路径</t>
        </is>
      </c>
      <c r="B5" t="inlineStr">
        <is>
          <t>yfinance 1m ^TNX ^FVX ZT=F（2Y 由期货估算：ΔP÷0.0194）</t>
        </is>
      </c>
      <c r="C5" t="inlineStr">
        <is>
          <t>DATA / ESTIMATE</t>
        </is>
      </c>
      <c r="D5" t="inlineStr">
        <is>
          <t>2026-10-15 ET</t>
        </is>
      </c>
    </row>
    <row r="6">
      <c r="A6" t="inlineStr">
        <is>
          <t>2Y/10Y 现货</t>
        </is>
      </c>
      <c r="B6" t="inlineStr">
        <is>
          <t>CNBC quote webservice（Tradeweb）</t>
        </is>
      </c>
      <c r="C6" t="inlineStr">
        <is>
          <t>DATA</t>
        </is>
      </c>
      <c r="D6" t="inlineStr">
        <is>
          <t>09:58 ET</t>
        </is>
      </c>
    </row>
    <row r="7">
      <c r="A7" t="inlineStr">
        <is>
          <t>Kalshi</t>
        </is>
      </c>
      <c r="B7" t="inlineStr">
        <is>
          <t>api.elections.kalshi.com 公共 API：KXFEDDECISION-26OCT/26DEC 1 分钟K线</t>
        </is>
      </c>
      <c r="C7" t="inlineStr">
        <is>
          <t>MARKET-IMPLIED</t>
        </is>
      </c>
      <c r="D7" t="inlineStr">
        <is>
          <t>2026-10-15 21:58 SGT</t>
        </is>
      </c>
    </row>
    <row r="8">
      <c r="A8" t="inlineStr">
        <is>
          <t>个股/指数/外汇</t>
        </is>
      </c>
      <c r="B8" t="inlineStr">
        <is>
          <t>yfinance 1m prepost + 1d</t>
        </is>
      </c>
      <c r="C8" t="inlineStr">
        <is>
          <t>DATA</t>
        </is>
      </c>
      <c r="D8" t="inlineStr">
        <is>
          <t>09:59 ET</t>
        </is>
      </c>
    </row>
    <row r="9">
      <c r="A9" t="inlineStr">
        <is>
          <t>基础概率</t>
        </is>
      </c>
      <c r="B9" t="inlineStr">
        <is>
          <t>FRED PPIFIS 过去 36 个月最终需求环比（四舍五入后 ≤0.2 / 0.3–0.6 / ≥0.7）；事后计算，仅用公布前数据</t>
        </is>
      </c>
      <c r="C9" t="inlineStr">
        <is>
          <t>CALC</t>
        </is>
      </c>
      <c r="D9" t="inlineStr">
        <is>
          <t>本次运行</t>
        </is>
      </c>
    </row>
    <row r="10">
      <c r="A10" t="inlineStr">
        <is>
          <t>背景新闻</t>
        </is>
      </c>
      <c r="B10" t="inlineStr">
        <is>
          <t>CNBC（PPI/零售、美债、美元 10/15）、Reuters/Investing.com（科技股抛售、TSMC 业绩）、WSJ（美债三周低点）</t>
        </is>
      </c>
      <c r="C10" t="inlineStr">
        <is>
          <t>NEWS（二手）</t>
        </is>
      </c>
      <c r="D10" t="inlineStr">
        <is>
          <t>2026-10-15</t>
        </is>
      </c>
    </row>
    <row r="11">
      <c r="A11" t="inlineStr">
        <is>
          <t>同日数据</t>
        </is>
      </c>
      <c r="B11" t="inlineStr">
        <is>
          <t>DOL 初请（AP/investingLive）、Philly Fed MBOS（官网）、Empire（investingLive）</t>
        </is>
      </c>
      <c r="C11" t="inlineStr">
        <is>
          <t>FACT / NEWS</t>
        </is>
      </c>
      <c r="D11" t="inlineStr">
        <is>
          <t>2026-10-15 08:30 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</t>
        </is>
      </c>
    </row>
    <row r="2">
      <c r="A2" t="n">
        <v>1</v>
      </c>
      <c r="B2" t="inlineStr">
        <is>
          <t>事前锁定共识可作为意外基准（不事后换成更有利的 Dow Jones 共识）</t>
        </is>
      </c>
      <c r="C2" t="inlineStr">
        <is>
          <t>RULE</t>
        </is>
      </c>
      <c r="D2" t="inlineStr">
        <is>
          <t>两套共识方向一致才下结论</t>
        </is>
      </c>
    </row>
    <row r="3">
      <c r="A3" t="n">
        <v>2</v>
      </c>
      <c r="B3" t="inlineStr">
        <is>
          <t>08:29→09:15 ET 的变化≈数据本身的影响（同秒多份数据，无法完全拆开）</t>
        </is>
      </c>
      <c r="C3" t="inlineStr">
        <is>
          <t>ASSUMPTION</t>
        </is>
      </c>
      <c r="D3" t="inlineStr">
        <is>
          <t>若同窗口有 Fed 讲话/大新闻则失效</t>
        </is>
      </c>
    </row>
    <row r="4">
      <c r="A4" t="n">
        <v>3</v>
      </c>
      <c r="B4" t="inlineStr">
        <is>
          <t>2Y 由 ZT 期货价格变动 ÷0.0194/bp 估算</t>
        </is>
      </c>
      <c r="C4" t="inlineStr">
        <is>
          <t>ESTIMATE</t>
        </is>
      </c>
      <c r="D4" t="inlineStr">
        <is>
          <t>与 CNBC 现货差 &gt;3bp 时以现货为准</t>
        </is>
      </c>
    </row>
    <row r="5">
      <c r="A5" t="n">
        <v>4</v>
      </c>
      <c r="B5" t="inlineStr">
        <is>
          <t>Kalshi 中间价≈市场概率</t>
        </is>
      </c>
      <c r="C5" t="inlineStr">
        <is>
          <t>ASSUMPTION</t>
        </is>
      </c>
      <c r="D5" t="inlineStr">
        <is>
          <t>价差 &gt;5c 或成交稀薄时不可靠</t>
        </is>
      </c>
    </row>
    <row r="6">
      <c r="A6" t="n">
        <v>5</v>
      </c>
      <c r="B6" t="inlineStr">
        <is>
          <t>基础概率代表「无信息」先验</t>
        </is>
      </c>
      <c r="C6" t="inlineStr">
        <is>
          <t>ASSUMPTION</t>
        </is>
      </c>
      <c r="D6" t="inlineStr">
        <is>
          <t>体制切换（能源冲击/战争）时需用条件基础概率</t>
        </is>
      </c>
    </row>
    <row r="7">
      <c r="A7" t="n">
        <v>6</v>
      </c>
      <c r="B7" t="inlineStr">
        <is>
          <t>NSA 分项（机票、组合管理）环比含季节性</t>
        </is>
      </c>
      <c r="C7" t="inlineStr">
        <is>
          <t>DATA CAVEAT</t>
        </is>
      </c>
      <c r="D7" t="inlineStr">
        <is>
          <t>仅作方向参考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2026-10-15T13:59:04Z</dcterms:created>
  <dcterms:modified xmlns:dcterms="http://purl.org/dc/terms/" xmlns:xsi="http://www.w3.org/2001/XMLSchema-instance" xsi:type="dcterms:W3CDTF">2026-10-15T13:59:05Z</dcterms:modified>
</cp:coreProperties>
</file>