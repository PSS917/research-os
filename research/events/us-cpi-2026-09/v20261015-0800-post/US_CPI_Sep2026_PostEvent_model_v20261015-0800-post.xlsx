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prise" sheetId="1" state="visible" r:id="rId1"/>
    <sheet xmlns:r="http://schemas.openxmlformats.org/officeDocument/2006/relationships" name="Calibration" sheetId="2" state="visible" r:id="rId2"/>
    <sheet xmlns:r="http://schemas.openxmlformats.org/officeDocument/2006/relationships" name="BaseRate" sheetId="3" state="visible" r:id="rId3"/>
    <sheet xmlns:r="http://schemas.openxmlformats.org/officeDocument/2006/relationships" name="ScenarioScoring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Kalshi" sheetId="6" state="visible" r:id="rId6"/>
    <sheet xmlns:r="http://schemas.openxmlformats.org/officeDocument/2006/relationships" name="SourceLedger" sheetId="7" state="visible" r:id="rId7"/>
    <sheet xmlns:r="http://schemas.openxmlformats.org/officeDocument/2006/relationships" name="AssumptionRegis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Metric</t>
        </is>
      </c>
      <c r="B1" s="1" t="inlineStr">
        <is>
          <t>Actual %</t>
        </is>
      </c>
      <c r="C1" s="1" t="inlineStr">
        <is>
          <t>Consensus %</t>
        </is>
      </c>
      <c r="D1" s="1" t="inlineStr">
        <is>
          <t>OS hypothesis %</t>
        </is>
      </c>
      <c r="E1" s="1" t="inlineStr">
        <is>
          <t>Surprise vs consensus (pp)</t>
        </is>
      </c>
      <c r="F1" s="1" t="inlineStr">
        <is>
          <t>Error of OS hypothesis (pp)</t>
        </is>
      </c>
    </row>
    <row r="2">
      <c r="A2" t="inlineStr">
        <is>
          <t>headline_mom</t>
        </is>
      </c>
      <c r="B2" t="n">
        <v>0.6</v>
      </c>
      <c r="C2" t="n">
        <v>0.6</v>
      </c>
      <c r="D2" t="n">
        <v>0.58</v>
      </c>
      <c r="E2">
        <f>IF(B2="","PENDING",B2-C2)</f>
        <v/>
      </c>
      <c r="F2">
        <f>IF(B2="","PENDING",B2-D2)</f>
        <v/>
      </c>
    </row>
    <row r="3">
      <c r="A3" t="inlineStr">
        <is>
          <t>headline_yoy</t>
        </is>
      </c>
      <c r="B3" t="n">
        <v>3.7</v>
      </c>
      <c r="C3" t="n">
        <v>3.6</v>
      </c>
      <c r="D3" t="n">
        <v>3.6</v>
      </c>
      <c r="E3">
        <f>IF(B3="","PENDING",B3-C3)</f>
        <v/>
      </c>
      <c r="F3">
        <f>IF(B3="","PENDING",B3-D3)</f>
        <v/>
      </c>
    </row>
    <row r="4">
      <c r="A4" t="inlineStr">
        <is>
          <t>core_mom</t>
        </is>
      </c>
      <c r="B4" t="n">
        <v>0.3</v>
      </c>
      <c r="C4" t="n">
        <v>0.2</v>
      </c>
      <c r="D4" t="n">
        <v>0.22</v>
      </c>
      <c r="E4">
        <f>IF(B4="","PENDING",B4-C4)</f>
        <v/>
      </c>
      <c r="F4">
        <f>IF(B4="","PENDING",B4-D4)</f>
        <v/>
      </c>
    </row>
    <row r="5">
      <c r="A5" t="inlineStr">
        <is>
          <t>core_yoy</t>
        </is>
      </c>
      <c r="B5" t="n">
        <v>2.6</v>
      </c>
      <c r="C5" t="n">
        <v>2.5</v>
      </c>
      <c r="D5" t="n">
        <v>2.4</v>
      </c>
      <c r="E5">
        <f>IF(B5="","PENDING",B5-C5)</f>
        <v/>
      </c>
      <c r="F5">
        <f>IF(B5="","PENDING",B5-D5)</f>
        <v/>
      </c>
    </row>
    <row r="6"/>
    <row r="7">
      <c r="A7" t="inlineStr">
        <is>
          <t>Hot threshold core m/m %</t>
        </is>
      </c>
      <c r="B7" t="n">
        <v>0.25</v>
      </c>
    </row>
    <row r="8">
      <c r="A8" t="inlineStr">
        <is>
          <t>Cool threshold core m/m %</t>
        </is>
      </c>
      <c r="B8" t="n">
        <v>0.15</v>
      </c>
    </row>
    <row r="9">
      <c r="A9" t="inlineStr">
        <is>
          <t>Classification</t>
        </is>
      </c>
      <c r="B9">
        <f>IF(B4="","PENDING",IF(OR(B4&gt;=B7,E4&gt;=0.1),"HOT",IF(E4&lt;=-0.1,"COOL","IN-LINE")))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Scenario</t>
        </is>
      </c>
      <c r="B1" s="1" t="inlineStr">
        <is>
          <t>Prior p</t>
        </is>
      </c>
      <c r="C1" s="1" t="inlineStr">
        <is>
          <t>Base rate</t>
        </is>
      </c>
      <c r="D1" s="1" t="inlineStr">
        <is>
          <t>Gap (pp)</t>
        </is>
      </c>
      <c r="E1" s="1" t="inlineStr">
        <is>
          <t>Shrink? (|gap|&gt;20pp)</t>
        </is>
      </c>
      <c r="F1" s="1" t="inlineStr">
        <is>
          <t>Shrunk p</t>
        </is>
      </c>
      <c r="G1" s="1" t="inlineStr">
        <is>
          <t>Outcome (1/0)</t>
        </is>
      </c>
      <c r="H1" s="1" t="inlineStr">
        <is>
          <t>Brier prior</t>
        </is>
      </c>
      <c r="I1" s="1" t="inlineStr">
        <is>
          <t>Brier calibrated</t>
        </is>
      </c>
      <c r="J1" s="1" t="inlineStr">
        <is>
          <t>Brier base</t>
        </is>
      </c>
      <c r="K1" s="1" t="inlineStr">
        <is>
          <t>Calibrated p (renormalised)</t>
        </is>
      </c>
      <c r="M1" t="inlineStr">
        <is>
          <t>Shrink factor (≥0.5)</t>
        </is>
      </c>
      <c r="N1" t="n">
        <v>0.5</v>
      </c>
    </row>
    <row r="2">
      <c r="A2" t="inlineStr">
        <is>
          <t>cool</t>
        </is>
      </c>
      <c r="B2" t="n">
        <v>0.25</v>
      </c>
      <c r="C2" t="n">
        <v>0.1388888888888889</v>
      </c>
      <c r="D2">
        <f>(B2-C2)*100</f>
        <v/>
      </c>
      <c r="E2">
        <f>ABS(B2-C2)&gt;$N$2</f>
        <v/>
      </c>
      <c r="F2">
        <f>IF(E2,C2+(1-$N$1)*(B2-C2),B2)</f>
        <v/>
      </c>
      <c r="G2">
        <f>IF(Surprise!$B$9="PENDING","",IF(UPPER(A2)=IF(Surprise!$B$9="IN-LINE","INLINE",Surprise!$B$9),1,0))</f>
        <v/>
      </c>
      <c r="H2">
        <f>(B2-G2)^2</f>
        <v/>
      </c>
      <c r="I2">
        <f>(K2-G2)^2</f>
        <v/>
      </c>
      <c r="J2">
        <f>(C2-G2)^2</f>
        <v/>
      </c>
      <c r="K2">
        <f>F2/SUM($F$2:$F$4)</f>
        <v/>
      </c>
      <c r="M2" t="inlineStr">
        <is>
          <t>Gap threshold</t>
        </is>
      </c>
      <c r="N2" t="n">
        <v>0.2</v>
      </c>
    </row>
    <row r="3">
      <c r="A3" t="inlineStr">
        <is>
          <t>inline</t>
        </is>
      </c>
      <c r="B3" t="n">
        <v>0.5</v>
      </c>
      <c r="C3" t="n">
        <v>0.3333333333333334</v>
      </c>
      <c r="D3">
        <f>(B3-C3)*100</f>
        <v/>
      </c>
      <c r="E3">
        <f>ABS(B3-C3)&gt;$N$2</f>
        <v/>
      </c>
      <c r="F3">
        <f>IF(E3,C3+(1-$N$1)*(B3-C3),B3)</f>
        <v/>
      </c>
      <c r="G3">
        <f>IF(Surprise!$B$9="PENDING","",IF(UPPER(A3)=IF(Surprise!$B$9="IN-LINE","INLINE",Surprise!$B$9),1,0))</f>
        <v/>
      </c>
      <c r="H3">
        <f>(B3-G3)^2</f>
        <v/>
      </c>
      <c r="I3">
        <f>(K3-G3)^2</f>
        <v/>
      </c>
      <c r="J3">
        <f>(C3-G3)^2</f>
        <v/>
      </c>
      <c r="K3">
        <f>F3/SUM($F$2:$F$4)</f>
        <v/>
      </c>
    </row>
    <row r="4">
      <c r="A4" t="inlineStr">
        <is>
          <t>hot</t>
        </is>
      </c>
      <c r="B4" t="n">
        <v>0.25</v>
      </c>
      <c r="C4" t="n">
        <v>0.5277777777777778</v>
      </c>
      <c r="D4">
        <f>(B4-C4)*100</f>
        <v/>
      </c>
      <c r="E4">
        <f>ABS(B4-C4)&gt;$N$2</f>
        <v/>
      </c>
      <c r="F4">
        <f>IF(E4,C4+(1-$N$1)*(B4-C4),B4)</f>
        <v/>
      </c>
      <c r="G4">
        <f>IF(Surprise!$B$9="PENDING","",IF(UPPER(A4)=IF(Surprise!$B$9="IN-LINE","INLINE",Surprise!$B$9),1,0))</f>
        <v/>
      </c>
      <c r="H4">
        <f>(B4-G4)^2</f>
        <v/>
      </c>
      <c r="I4">
        <f>(K4-G4)^2</f>
        <v/>
      </c>
      <c r="J4">
        <f>(C4-G4)^2</f>
        <v/>
      </c>
      <c r="K4">
        <f>F4/SUM($F$2:$F$4)</f>
        <v/>
      </c>
    </row>
    <row r="5">
      <c r="A5" t="inlineStr">
        <is>
          <t>TOTAL</t>
        </is>
      </c>
      <c r="B5">
        <f>SUM(B2:B4)</f>
        <v/>
      </c>
      <c r="C5">
        <f>SUM(C2:C4)</f>
        <v/>
      </c>
      <c r="D5" t="inlineStr"/>
      <c r="E5" t="inlineStr"/>
      <c r="F5">
        <f>SUM(F2:F4)</f>
        <v/>
      </c>
      <c r="G5">
        <f>SUM(G2:G4)</f>
        <v/>
      </c>
      <c r="H5">
        <f>SUM(H2:H4)</f>
        <v/>
      </c>
      <c r="I5">
        <f>SUM(I2:I4)</f>
        <v/>
      </c>
      <c r="J5">
        <f>SUM(J2:J4)</f>
        <v/>
      </c>
      <c r="K5">
        <f>SUM(K2:K4)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Month #</t>
        </is>
      </c>
      <c r="B1" s="1" t="inlineStr">
        <is>
          <t>Core CPI m/m % (FRED CPILFESL)</t>
        </is>
      </c>
      <c r="C1" s="1" t="inlineStr">
        <is>
          <t>Bucket</t>
        </is>
      </c>
      <c r="E1" t="inlineStr">
        <is>
          <t>cool share</t>
        </is>
      </c>
      <c r="F1">
        <f>COUNTIF(C2:C37,"cool")/COUNTA(C2:C37)</f>
        <v/>
      </c>
    </row>
    <row r="2">
      <c r="A2" t="n">
        <v>1</v>
      </c>
      <c r="B2" t="n">
        <v>0.2007</v>
      </c>
      <c r="C2">
        <f>IF(B2&lt;=0.15,"cool",IF(B2&gt;=0.25,"hot","inline"))</f>
        <v/>
      </c>
      <c r="E2" t="inlineStr">
        <is>
          <t>inline share</t>
        </is>
      </c>
      <c r="F2">
        <f>COUNTIF(C2:C37,"inline")/COUNTA(C2:C37)</f>
        <v/>
      </c>
    </row>
    <row r="3">
      <c r="A3" t="n">
        <v>2</v>
      </c>
      <c r="B3" t="n">
        <v>0.3098</v>
      </c>
      <c r="C3">
        <f>IF(B3&lt;=0.15,"cool",IF(B3&gt;=0.25,"hot","inline"))</f>
        <v/>
      </c>
      <c r="E3" t="inlineStr">
        <is>
          <t>hot share</t>
        </is>
      </c>
      <c r="F3">
        <f>COUNTIF(C2:C37,"hot")/COUNTA(C2:C37)</f>
        <v/>
      </c>
    </row>
    <row r="4">
      <c r="A4" t="n">
        <v>3</v>
      </c>
      <c r="B4" t="n">
        <v>0.2956</v>
      </c>
      <c r="C4">
        <f>IF(B4&lt;=0.15,"cool",IF(B4&gt;=0.25,"hot","inline"))</f>
        <v/>
      </c>
    </row>
    <row r="5">
      <c r="A5" t="n">
        <v>4</v>
      </c>
      <c r="B5" t="n">
        <v>0.3002</v>
      </c>
      <c r="C5">
        <f>IF(B5&lt;=0.15,"cool",IF(B5&gt;=0.25,"hot","inline"))</f>
        <v/>
      </c>
    </row>
    <row r="6">
      <c r="A6" t="n">
        <v>5</v>
      </c>
      <c r="B6" t="n">
        <v>0.257</v>
      </c>
      <c r="C6">
        <f>IF(B6&lt;=0.15,"cool",IF(B6&gt;=0.25,"hot","inline"))</f>
        <v/>
      </c>
    </row>
    <row r="7">
      <c r="A7" t="n">
        <v>6</v>
      </c>
      <c r="B7" t="n">
        <v>0.3589</v>
      </c>
      <c r="C7">
        <f>IF(B7&lt;=0.15,"cool",IF(B7&gt;=0.25,"hot","inline"))</f>
        <v/>
      </c>
    </row>
    <row r="8">
      <c r="A8" t="n">
        <v>7</v>
      </c>
      <c r="B8" t="n">
        <v>0.3961</v>
      </c>
      <c r="C8">
        <f>IF(B8&lt;=0.15,"cool",IF(B8&gt;=0.25,"hot","inline"))</f>
        <v/>
      </c>
    </row>
    <row r="9">
      <c r="A9" t="n">
        <v>8</v>
      </c>
      <c r="B9" t="n">
        <v>0.3891</v>
      </c>
      <c r="C9">
        <f>IF(B9&lt;=0.15,"cool",IF(B9&gt;=0.25,"hot","inline"))</f>
        <v/>
      </c>
    </row>
    <row r="10">
      <c r="A10" t="n">
        <v>9</v>
      </c>
      <c r="B10" t="n">
        <v>0.2705</v>
      </c>
      <c r="C10">
        <f>IF(B10&lt;=0.15,"cool",IF(B10&gt;=0.25,"hot","inline"))</f>
        <v/>
      </c>
    </row>
    <row r="11">
      <c r="A11" t="n">
        <v>10</v>
      </c>
      <c r="B11" t="n">
        <v>0.1404</v>
      </c>
      <c r="C11">
        <f>IF(B11&lt;=0.15,"cool",IF(B11&gt;=0.25,"hot","inline"))</f>
        <v/>
      </c>
    </row>
    <row r="12">
      <c r="A12" t="n">
        <v>11</v>
      </c>
      <c r="B12" t="n">
        <v>0.0927</v>
      </c>
      <c r="C12">
        <f>IF(B12&lt;=0.15,"cool",IF(B12&gt;=0.25,"hot","inline"))</f>
        <v/>
      </c>
    </row>
    <row r="13">
      <c r="A13" t="n">
        <v>12</v>
      </c>
      <c r="B13" t="n">
        <v>0.1727</v>
      </c>
      <c r="C13">
        <f>IF(B13&lt;=0.15,"cool",IF(B13&gt;=0.25,"hot","inline"))</f>
        <v/>
      </c>
    </row>
    <row r="14">
      <c r="A14" t="n">
        <v>13</v>
      </c>
      <c r="B14" t="n">
        <v>0.254</v>
      </c>
      <c r="C14">
        <f>IF(B14&lt;=0.15,"cool",IF(B14&gt;=0.25,"hot","inline"))</f>
        <v/>
      </c>
    </row>
    <row r="15">
      <c r="A15" t="n">
        <v>14</v>
      </c>
      <c r="B15" t="n">
        <v>0.3071</v>
      </c>
      <c r="C15">
        <f>IF(B15&lt;=0.15,"cool",IF(B15&gt;=0.25,"hot","inline"))</f>
        <v/>
      </c>
    </row>
    <row r="16">
      <c r="A16" t="n">
        <v>15</v>
      </c>
      <c r="B16" t="n">
        <v>0.3115</v>
      </c>
      <c r="C16">
        <f>IF(B16&lt;=0.15,"cool",IF(B16&gt;=0.25,"hot","inline"))</f>
        <v/>
      </c>
    </row>
    <row r="17">
      <c r="A17" t="n">
        <v>16</v>
      </c>
      <c r="B17" t="n">
        <v>0.2878</v>
      </c>
      <c r="C17">
        <f>IF(B17&lt;=0.15,"cool",IF(B17&gt;=0.25,"hot","inline"))</f>
        <v/>
      </c>
    </row>
    <row r="18">
      <c r="A18" t="n">
        <v>17</v>
      </c>
      <c r="B18" t="n">
        <v>0.1866</v>
      </c>
      <c r="C18">
        <f>IF(B18&lt;=0.15,"cool",IF(B18&gt;=0.25,"hot","inline"))</f>
        <v/>
      </c>
    </row>
    <row r="19">
      <c r="A19" t="n">
        <v>18</v>
      </c>
      <c r="B19" t="n">
        <v>0.4266</v>
      </c>
      <c r="C19">
        <f>IF(B19&lt;=0.15,"cool",IF(B19&gt;=0.25,"hot","inline"))</f>
        <v/>
      </c>
    </row>
    <row r="20">
      <c r="A20" t="n">
        <v>19</v>
      </c>
      <c r="B20" t="n">
        <v>0.2547</v>
      </c>
      <c r="C20">
        <f>IF(B20&lt;=0.15,"cool",IF(B20&gt;=0.25,"hot","inline"))</f>
        <v/>
      </c>
    </row>
    <row r="21">
      <c r="A21" t="n">
        <v>20</v>
      </c>
      <c r="B21" t="n">
        <v>0.06909999999999999</v>
      </c>
      <c r="C21">
        <f>IF(B21&lt;=0.15,"cool",IF(B21&gt;=0.25,"hot","inline"))</f>
        <v/>
      </c>
    </row>
    <row r="22">
      <c r="A22" t="n">
        <v>21</v>
      </c>
      <c r="B22" t="n">
        <v>0.2386</v>
      </c>
      <c r="C22">
        <f>IF(B22&lt;=0.15,"cool",IF(B22&gt;=0.25,"hot","inline"))</f>
        <v/>
      </c>
    </row>
    <row r="23">
      <c r="A23" t="n">
        <v>22</v>
      </c>
      <c r="B23" t="n">
        <v>0.1305</v>
      </c>
      <c r="C23">
        <f>IF(B23&lt;=0.15,"cool",IF(B23&gt;=0.25,"hot","inline"))</f>
        <v/>
      </c>
    </row>
    <row r="24">
      <c r="A24" t="n">
        <v>23</v>
      </c>
      <c r="B24" t="n">
        <v>0.234</v>
      </c>
      <c r="C24">
        <f>IF(B24&lt;=0.15,"cool",IF(B24&gt;=0.25,"hot","inline"))</f>
        <v/>
      </c>
    </row>
    <row r="25">
      <c r="A25" t="n">
        <v>24</v>
      </c>
      <c r="B25" t="n">
        <v>0.3125</v>
      </c>
      <c r="C25">
        <f>IF(B25&lt;=0.15,"cool",IF(B25&gt;=0.25,"hot","inline"))</f>
        <v/>
      </c>
    </row>
    <row r="26">
      <c r="A26" t="n">
        <v>25</v>
      </c>
      <c r="B26" t="n">
        <v>0.3097</v>
      </c>
      <c r="C26">
        <f>IF(B26&lt;=0.15,"cool",IF(B26&gt;=0.25,"hot","inline"))</f>
        <v/>
      </c>
    </row>
    <row r="27">
      <c r="A27" t="n">
        <v>26</v>
      </c>
      <c r="B27" t="n">
        <v>0.2178</v>
      </c>
      <c r="C27">
        <f>IF(B27&lt;=0.15,"cool",IF(B27&gt;=0.25,"hot","inline"))</f>
        <v/>
      </c>
    </row>
    <row r="28">
      <c r="A28" t="n">
        <v>27</v>
      </c>
      <c r="B28" t="n">
        <v>0.1892</v>
      </c>
      <c r="C28">
        <f>IF(B28&lt;=0.15,"cool",IF(B28&gt;=0.25,"hot","inline"))</f>
        <v/>
      </c>
    </row>
    <row r="29">
      <c r="A29" t="n">
        <v>28</v>
      </c>
      <c r="B29" t="n">
        <v>0.2329</v>
      </c>
      <c r="C29">
        <f>IF(B29&lt;=0.15,"cool",IF(B29&gt;=0.25,"hot","inline"))</f>
        <v/>
      </c>
    </row>
    <row r="30">
      <c r="A30" t="n">
        <v>29</v>
      </c>
      <c r="B30" t="n">
        <v>0.295</v>
      </c>
      <c r="C30">
        <f>IF(B30&lt;=0.15,"cool",IF(B30&gt;=0.25,"hot","inline"))</f>
        <v/>
      </c>
    </row>
    <row r="31">
      <c r="A31" t="n">
        <v>30</v>
      </c>
      <c r="B31" t="n">
        <v>0.2161</v>
      </c>
      <c r="C31">
        <f>IF(B31&lt;=0.15,"cool",IF(B31&gt;=0.25,"hot","inline"))</f>
        <v/>
      </c>
    </row>
    <row r="32">
      <c r="A32" t="n">
        <v>31</v>
      </c>
      <c r="B32" t="n">
        <v>0.1958</v>
      </c>
      <c r="C32">
        <f>IF(B32&lt;=0.15,"cool",IF(B32&gt;=0.25,"hot","inline"))</f>
        <v/>
      </c>
    </row>
    <row r="33">
      <c r="A33" t="n">
        <v>32</v>
      </c>
      <c r="B33" t="n">
        <v>0.3765</v>
      </c>
      <c r="C33">
        <f>IF(B33&lt;=0.15,"cool",IF(B33&gt;=0.25,"hot","inline"))</f>
        <v/>
      </c>
    </row>
    <row r="34">
      <c r="A34" t="n">
        <v>33</v>
      </c>
      <c r="B34" t="n">
        <v>0.2081</v>
      </c>
      <c r="C34">
        <f>IF(B34&lt;=0.15,"cool",IF(B34&gt;=0.25,"hot","inline"))</f>
        <v/>
      </c>
    </row>
    <row r="35">
      <c r="A35" t="n">
        <v>34</v>
      </c>
      <c r="B35" t="n">
        <v>-0.0167</v>
      </c>
      <c r="C35">
        <f>IF(B35&lt;=0.15,"cool",IF(B35&gt;=0.25,"hot","inline"))</f>
        <v/>
      </c>
    </row>
    <row r="36">
      <c r="A36" t="n">
        <v>35</v>
      </c>
      <c r="B36" t="n">
        <v>0.2154</v>
      </c>
      <c r="C36">
        <f>IF(B36&lt;=0.15,"cool",IF(B36&gt;=0.25,"hot","inline"))</f>
        <v/>
      </c>
    </row>
    <row r="37">
      <c r="A37" t="n">
        <v>36</v>
      </c>
      <c r="B37" t="n">
        <v>0.2898</v>
      </c>
      <c r="C37">
        <f>IF(B37&lt;=0.15,"cool",IF(B37&gt;=0.25,"hot","inline"))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Scenario</t>
        </is>
      </c>
      <c r="B1" s="1" t="inlineStr">
        <is>
          <t>Calibrated p</t>
        </is>
      </c>
      <c r="C1" s="1" t="inlineStr">
        <is>
          <t>Outcome</t>
        </is>
      </c>
      <c r="D1" s="1" t="inlineStr">
        <is>
          <t>Log score (ln p of realised)</t>
        </is>
      </c>
    </row>
    <row r="2">
      <c r="A2" t="inlineStr">
        <is>
          <t>cool</t>
        </is>
      </c>
      <c r="B2">
        <f>Calibration!K2</f>
        <v/>
      </c>
      <c r="C2">
        <f>Calibration!G2</f>
        <v/>
      </c>
      <c r="D2">
        <f>IF(C2=1,LN(MAX(B2,0.001)),"")</f>
        <v/>
      </c>
    </row>
    <row r="3">
      <c r="A3" t="inlineStr">
        <is>
          <t>inline</t>
        </is>
      </c>
      <c r="B3">
        <f>Calibration!K3</f>
        <v/>
      </c>
      <c r="C3">
        <f>Calibration!G3</f>
        <v/>
      </c>
      <c r="D3">
        <f>IF(C3=1,LN(MAX(B3,0.001)),"")</f>
        <v/>
      </c>
    </row>
    <row r="4">
      <c r="A4" t="inlineStr">
        <is>
          <t>hot</t>
        </is>
      </c>
      <c r="B4">
        <f>Calibration!K4</f>
        <v/>
      </c>
      <c r="C4">
        <f>Calibration!G4</f>
        <v/>
      </c>
      <c r="D4">
        <f>IF(C4=1,LN(MAX(B4,0.001)),"")</f>
        <v/>
      </c>
    </row>
    <row r="5">
      <c r="A5" t="inlineStr">
        <is>
          <t>Score (higher better)</t>
        </is>
      </c>
      <c r="B5" t="inlineStr"/>
      <c r="C5" t="inlineStr"/>
      <c r="D5">
        <f>SUM(D2:D4)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Ticker</t>
        </is>
      </c>
      <c r="B1" s="1" t="inlineStr">
        <is>
          <t>Sensitivity % per +10bp</t>
        </is>
      </c>
      <c r="C1" s="1" t="inlineStr">
        <is>
          <t>10Y change bp</t>
        </is>
      </c>
      <c r="D1" s="1" t="inlineStr">
        <is>
          <t>Predicted %</t>
        </is>
      </c>
      <c r="E1" s="1" t="inlineStr">
        <is>
          <t>Actual %</t>
        </is>
      </c>
      <c r="F1" s="1" t="inlineStr">
        <is>
          <t>Error pp</t>
        </is>
      </c>
      <c r="G1" s="1" t="inlineStr">
        <is>
          <t>|Error|</t>
        </is>
      </c>
    </row>
    <row r="2">
      <c r="A2" t="inlineStr">
        <is>
          <t>CCL</t>
        </is>
      </c>
      <c r="B2" t="n">
        <v>-2.59</v>
      </c>
      <c r="C2" t="n">
        <v>-2.699995040893555</v>
      </c>
      <c r="D2">
        <f>B2*C2/10</f>
        <v/>
      </c>
      <c r="E2" t="n">
        <v>0.9441087776502544</v>
      </c>
      <c r="F2">
        <f>E2-D2</f>
        <v/>
      </c>
      <c r="G2">
        <f>ABS(F2)</f>
        <v/>
      </c>
    </row>
    <row r="3">
      <c r="A3" t="inlineStr">
        <is>
          <t>ARM</t>
        </is>
      </c>
      <c r="B3" t="n">
        <v>-2.56</v>
      </c>
      <c r="C3" t="n">
        <v>-2.699995040893555</v>
      </c>
      <c r="D3">
        <f>B3*C3/10</f>
        <v/>
      </c>
      <c r="E3" t="n">
        <v>0.05876582559798393</v>
      </c>
      <c r="F3">
        <f>E3-D3</f>
        <v/>
      </c>
      <c r="G3">
        <f>ABS(F3)</f>
        <v/>
      </c>
    </row>
    <row r="4">
      <c r="A4" t="inlineStr">
        <is>
          <t>SPCX</t>
        </is>
      </c>
      <c r="B4" t="n">
        <v>-2.56</v>
      </c>
      <c r="C4" t="n">
        <v>-2.699995040893555</v>
      </c>
      <c r="D4">
        <f>B4*C4/10</f>
        <v/>
      </c>
      <c r="E4" t="n">
        <v>-4.210014049626832</v>
      </c>
      <c r="F4">
        <f>E4-D4</f>
        <v/>
      </c>
      <c r="G4">
        <f>ABS(F4)</f>
        <v/>
      </c>
    </row>
    <row r="5">
      <c r="A5" t="inlineStr">
        <is>
          <t>MRVL</t>
        </is>
      </c>
      <c r="B5" t="n">
        <v>-1.84</v>
      </c>
      <c r="C5" t="n">
        <v>-2.699995040893555</v>
      </c>
      <c r="D5">
        <f>B5*C5/10</f>
        <v/>
      </c>
      <c r="E5" t="n">
        <v>1.079525236176626</v>
      </c>
      <c r="F5">
        <f>E5-D5</f>
        <v/>
      </c>
      <c r="G5">
        <f>ABS(F5)</f>
        <v/>
      </c>
    </row>
    <row r="6">
      <c r="A6" t="inlineStr">
        <is>
          <t>RKLB</t>
        </is>
      </c>
      <c r="B6" t="n">
        <v>-1.77</v>
      </c>
      <c r="C6" t="n">
        <v>-2.699995040893555</v>
      </c>
      <c r="D6">
        <f>B6*C6/10</f>
        <v/>
      </c>
      <c r="E6" t="n">
        <v>-2.26753596793402</v>
      </c>
      <c r="F6">
        <f>E6-D6</f>
        <v/>
      </c>
      <c r="G6">
        <f>ABS(F6)</f>
        <v/>
      </c>
    </row>
    <row r="7">
      <c r="A7" t="inlineStr">
        <is>
          <t>INTC</t>
        </is>
      </c>
      <c r="B7" t="n">
        <v>-1.53</v>
      </c>
      <c r="C7" t="n">
        <v>-2.699995040893555</v>
      </c>
      <c r="D7">
        <f>B7*C7/10</f>
        <v/>
      </c>
      <c r="E7" t="n">
        <v>1.440551659056477</v>
      </c>
      <c r="F7">
        <f>E7-D7</f>
        <v/>
      </c>
      <c r="G7">
        <f>ABS(F7)</f>
        <v/>
      </c>
    </row>
    <row r="8">
      <c r="A8" t="inlineStr">
        <is>
          <t>GLW</t>
        </is>
      </c>
      <c r="B8" t="n">
        <v>-1.49</v>
      </c>
      <c r="C8" t="n">
        <v>-2.699995040893555</v>
      </c>
      <c r="D8">
        <f>B8*C8/10</f>
        <v/>
      </c>
      <c r="E8" t="n">
        <v>0.8555095853334915</v>
      </c>
      <c r="F8">
        <f>E8-D8</f>
        <v/>
      </c>
      <c r="G8">
        <f>ABS(F8)</f>
        <v/>
      </c>
    </row>
    <row r="9">
      <c r="A9" t="inlineStr">
        <is>
          <t>KLAC</t>
        </is>
      </c>
      <c r="B9" t="n">
        <v>-1.21</v>
      </c>
      <c r="C9" t="n">
        <v>-2.699995040893555</v>
      </c>
      <c r="D9">
        <f>B9*C9/10</f>
        <v/>
      </c>
      <c r="E9" t="n">
        <v>-3.219017080983622</v>
      </c>
      <c r="F9">
        <f>E9-D9</f>
        <v/>
      </c>
      <c r="G9">
        <f>ABS(F9)</f>
        <v/>
      </c>
    </row>
    <row r="10">
      <c r="A10" t="inlineStr">
        <is>
          <t>CIEN</t>
        </is>
      </c>
      <c r="B10" t="n">
        <v>-1.18</v>
      </c>
      <c r="C10" t="n">
        <v>-2.699995040893555</v>
      </c>
      <c r="D10">
        <f>B10*C10/10</f>
        <v/>
      </c>
      <c r="E10" t="n">
        <v>-1.138247390924585</v>
      </c>
      <c r="F10">
        <f>E10-D10</f>
        <v/>
      </c>
      <c r="G10">
        <f>ABS(F10)</f>
        <v/>
      </c>
    </row>
    <row r="11">
      <c r="A11" t="inlineStr">
        <is>
          <t>QCOM</t>
        </is>
      </c>
      <c r="B11" t="n">
        <v>-1.16</v>
      </c>
      <c r="C11" t="n">
        <v>-2.699995040893555</v>
      </c>
      <c r="D11">
        <f>B11*C11/10</f>
        <v/>
      </c>
      <c r="E11" t="n">
        <v>1.393113590898931</v>
      </c>
      <c r="F11">
        <f>E11-D11</f>
        <v/>
      </c>
      <c r="G11">
        <f>ABS(F11)</f>
        <v/>
      </c>
    </row>
    <row r="12">
      <c r="A12" t="inlineStr">
        <is>
          <t>AMD</t>
        </is>
      </c>
      <c r="B12" t="n">
        <v>-1.05</v>
      </c>
      <c r="C12" t="n">
        <v>-2.699995040893555</v>
      </c>
      <c r="D12">
        <f>B12*C12/10</f>
        <v/>
      </c>
      <c r="E12" t="n">
        <v>1.899912366726975</v>
      </c>
      <c r="F12">
        <f>E12-D12</f>
        <v/>
      </c>
      <c r="G12">
        <f>ABS(F12)</f>
        <v/>
      </c>
    </row>
    <row r="13">
      <c r="A13" t="inlineStr">
        <is>
          <t>NDX</t>
        </is>
      </c>
      <c r="B13" t="n">
        <v>-0.67</v>
      </c>
      <c r="C13" t="n">
        <v>-2.699995040893555</v>
      </c>
      <c r="D13">
        <f>B13*C13/10</f>
        <v/>
      </c>
      <c r="E13" t="n">
        <v>-2.023796456509741</v>
      </c>
      <c r="F13">
        <f>E13-D13</f>
        <v/>
      </c>
      <c r="G13">
        <f>ABS(F13)</f>
        <v/>
      </c>
    </row>
    <row r="14">
      <c r="A14" t="inlineStr">
        <is>
          <t>SOX</t>
        </is>
      </c>
      <c r="B14" t="n">
        <v>-0.89</v>
      </c>
      <c r="C14" t="n">
        <v>-2.699995040893555</v>
      </c>
      <c r="D14">
        <f>B14*C14/10</f>
        <v/>
      </c>
      <c r="E14" t="n">
        <v>-4.295325129555339</v>
      </c>
      <c r="F14">
        <f>E14-D14</f>
        <v/>
      </c>
      <c r="G14">
        <f>ABS(F14)</f>
        <v/>
      </c>
    </row>
    <row r="15">
      <c r="A15" t="inlineStr">
        <is>
          <t>MAE</t>
        </is>
      </c>
      <c r="B15" t="inlineStr"/>
      <c r="C15" t="inlineStr"/>
      <c r="D15" t="inlineStr"/>
      <c r="E15" t="inlineStr"/>
      <c r="F15" t="inlineStr"/>
      <c r="G15">
        <f>AVERAGE(G2:G14)</f>
        <v/>
      </c>
    </row>
    <row r="16">
      <c r="A16" t="inlineStr">
        <is>
          <t>Model holds? (MAE ≤1.5pp)</t>
        </is>
      </c>
      <c r="B16" t="inlineStr"/>
      <c r="C16" t="inlineStr"/>
      <c r="D16" t="inlineStr"/>
      <c r="E16" t="inlineStr"/>
      <c r="F16" t="inlineStr"/>
      <c r="G16">
        <f>IF(G15&lt;=1.5,"YES","NO")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Meeting</t>
        </is>
      </c>
      <c r="B1" s="1" t="inlineStr">
        <is>
          <t>Outcome</t>
        </is>
      </c>
      <c r="C1" s="1" t="inlineStr">
        <is>
          <t>Last price</t>
        </is>
      </c>
      <c r="D1" s="1" t="inlineStr">
        <is>
          <t>Prior-day price</t>
        </is>
      </c>
      <c r="E1" s="1" t="inlineStr">
        <is>
          <t>Change (pp)</t>
        </is>
      </c>
      <c r="F1" s="1" t="inlineStr">
        <is>
          <t>Fetched</t>
        </is>
      </c>
    </row>
    <row r="2">
      <c r="A2" t="inlineStr">
        <is>
          <t>OCT</t>
        </is>
      </c>
      <c r="B2" t="inlineStr">
        <is>
          <t>Cut &gt;25bps</t>
        </is>
      </c>
      <c r="C2" t="n">
        <v>0.01</v>
      </c>
      <c r="D2" t="n">
        <v>0.01</v>
      </c>
      <c r="E2">
        <f>(C2-D2)*100</f>
        <v/>
      </c>
      <c r="F2" t="inlineStr">
        <is>
          <t>2026-10-15 08:00 MYT</t>
        </is>
      </c>
    </row>
    <row r="3">
      <c r="A3" t="inlineStr">
        <is>
          <t>OCT</t>
        </is>
      </c>
      <c r="B3" t="inlineStr">
        <is>
          <t>Cut 25bps</t>
        </is>
      </c>
      <c r="C3" t="n">
        <v>0.01</v>
      </c>
      <c r="D3" t="n">
        <v>0.01</v>
      </c>
      <c r="E3">
        <f>(C3-D3)*100</f>
        <v/>
      </c>
      <c r="F3" t="inlineStr">
        <is>
          <t>2026-10-15 08:00 MYT</t>
        </is>
      </c>
    </row>
    <row r="4">
      <c r="A4" t="inlineStr">
        <is>
          <t>OCT</t>
        </is>
      </c>
      <c r="B4" t="inlineStr">
        <is>
          <t>Fed maintains rate</t>
        </is>
      </c>
      <c r="C4" t="n">
        <v>0.68</v>
      </c>
      <c r="D4" t="n">
        <v>0.8</v>
      </c>
      <c r="E4">
        <f>(C4-D4)*100</f>
        <v/>
      </c>
      <c r="F4" t="inlineStr">
        <is>
          <t>2026-10-15 08:00 MYT</t>
        </is>
      </c>
    </row>
    <row r="5">
      <c r="A5" t="inlineStr">
        <is>
          <t>OCT</t>
        </is>
      </c>
      <c r="B5" t="inlineStr">
        <is>
          <t>Hike 25bps</t>
        </is>
      </c>
      <c r="C5" t="n">
        <v>0.3</v>
      </c>
      <c r="D5" t="n">
        <v>0.19</v>
      </c>
      <c r="E5">
        <f>(C5-D5)*100</f>
        <v/>
      </c>
      <c r="F5" t="inlineStr">
        <is>
          <t>2026-10-15 08:00 MYT</t>
        </is>
      </c>
    </row>
    <row r="6">
      <c r="A6" t="inlineStr">
        <is>
          <t>OCT</t>
        </is>
      </c>
      <c r="B6" t="inlineStr">
        <is>
          <t>Hike &gt;25bps</t>
        </is>
      </c>
      <c r="C6" t="n">
        <v>0.01</v>
      </c>
      <c r="D6" t="n">
        <v>0.01</v>
      </c>
      <c r="E6">
        <f>(C6-D6)*100</f>
        <v/>
      </c>
      <c r="F6" t="inlineStr">
        <is>
          <t>2026-10-15 08:00 MYT</t>
        </is>
      </c>
    </row>
    <row r="7">
      <c r="A7" t="inlineStr">
        <is>
          <t>DEC</t>
        </is>
      </c>
      <c r="B7" t="inlineStr">
        <is>
          <t>Fed maintains rate</t>
        </is>
      </c>
      <c r="C7" t="n">
        <v>0.19</v>
      </c>
      <c r="D7" t="n">
        <v>0.24</v>
      </c>
      <c r="E7">
        <f>(C7-D7)*100</f>
        <v/>
      </c>
      <c r="F7" t="inlineStr">
        <is>
          <t>2026-10-15 08:00 MYT</t>
        </is>
      </c>
    </row>
    <row r="8">
      <c r="A8" t="inlineStr">
        <is>
          <t>DEC</t>
        </is>
      </c>
      <c r="B8" t="inlineStr">
        <is>
          <t>Cut &gt;25bps</t>
        </is>
      </c>
      <c r="C8" t="n">
        <v>0.01</v>
      </c>
      <c r="D8" t="n">
        <v>0.01</v>
      </c>
      <c r="E8">
        <f>(C8-D8)*100</f>
        <v/>
      </c>
      <c r="F8" t="inlineStr">
        <is>
          <t>2026-10-15 08:00 MYT</t>
        </is>
      </c>
    </row>
    <row r="9">
      <c r="A9" t="inlineStr">
        <is>
          <t>DEC</t>
        </is>
      </c>
      <c r="B9" t="inlineStr">
        <is>
          <t>Cut 25bps</t>
        </is>
      </c>
      <c r="C9" t="n">
        <v>0.02</v>
      </c>
      <c r="D9" t="n">
        <v>0.01</v>
      </c>
      <c r="E9">
        <f>(C9-D9)*100</f>
        <v/>
      </c>
      <c r="F9" t="inlineStr">
        <is>
          <t>2026-10-15 08:00 MYT</t>
        </is>
      </c>
    </row>
    <row r="10">
      <c r="A10" t="inlineStr">
        <is>
          <t>DEC</t>
        </is>
      </c>
      <c r="B10" t="inlineStr">
        <is>
          <t>Hike 25bps</t>
        </is>
      </c>
      <c r="C10" t="n">
        <v>0.79</v>
      </c>
      <c r="D10" t="n">
        <v>0.75</v>
      </c>
      <c r="E10">
        <f>(C10-D10)*100</f>
        <v/>
      </c>
      <c r="F10" t="inlineStr">
        <is>
          <t>2026-10-15 08:00 MYT</t>
        </is>
      </c>
    </row>
    <row r="11">
      <c r="A11" t="inlineStr">
        <is>
          <t>DEC</t>
        </is>
      </c>
      <c r="B11" t="inlineStr">
        <is>
          <t>Hike &gt;25bps</t>
        </is>
      </c>
      <c r="C11" t="n">
        <v>0.04</v>
      </c>
      <c r="D11" t="n">
        <v>0.02</v>
      </c>
      <c r="E11">
        <f>(C11-D11)*100</f>
        <v/>
      </c>
      <c r="F11" t="inlineStr">
        <is>
          <t>2026-10-15 08:00 MYT</t>
        </is>
      </c>
    </row>
    <row r="12">
      <c r="A12" t="inlineStr">
        <is>
          <t>Locked pre-event Oct hike</t>
        </is>
      </c>
      <c r="B12" t="inlineStr"/>
      <c r="C12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Time</t>
        </is>
      </c>
    </row>
    <row r="2">
      <c r="A2" t="inlineStr">
        <is>
          <t>CPI 实际（核心/整体 环比、同比）</t>
        </is>
      </c>
      <c r="B2" t="inlineStr">
        <is>
          <t>{'headline_mom': 0.6, 'headline_yoy': 3.7, 'core_mom': 0.3, 'core_yoy': 2.6}</t>
        </is>
      </c>
      <c r="C2" t="inlineStr">
        <is>
          <t>BLS API（SA 算环比，NSA 算同比）</t>
        </is>
      </c>
      <c r="D2" t="inlineStr">
        <is>
          <t>2026-10-14 20:30 SGT</t>
        </is>
      </c>
    </row>
    <row r="3">
      <c r="A3" t="inlineStr">
        <is>
          <t>共识</t>
        </is>
      </c>
      <c r="B3" t="inlineStr">
        <is>
          <t>核心环比 0.2%、同比 2.5%</t>
        </is>
      </c>
      <c r="C3" t="inlineStr">
        <is>
          <t>事前书 v20261013-1803（锁定）</t>
        </is>
      </c>
      <c r="D3" t="inlineStr">
        <is>
          <t>2026-10-13T18:03:00+08:00</t>
        </is>
      </c>
    </row>
    <row r="4">
      <c r="A4" t="inlineStr">
        <is>
          <t>10Y 变动</t>
        </is>
      </c>
      <c r="B4" t="inlineStr">
        <is>
          <t>-2.7bp</t>
        </is>
      </c>
      <c r="C4" t="inlineStr">
        <is>
          <t>yfinance ^TNX</t>
        </is>
      </c>
      <c r="D4" t="inlineStr">
        <is>
          <t>2026-10-14 收盘</t>
        </is>
      </c>
    </row>
    <row r="5">
      <c r="A5" t="inlineStr">
        <is>
          <t>Kalshi 10 月加息</t>
        </is>
      </c>
      <c r="B5" t="inlineStr">
        <is>
          <t>0.31</t>
        </is>
      </c>
      <c r="C5" t="inlineStr">
        <is>
          <t>Kalshi 公开 API KXFEDDECISION-26OCT</t>
        </is>
      </c>
      <c r="D5" t="inlineStr">
        <is>
          <t>2026-10-15 08:00 MYT</t>
        </is>
      </c>
    </row>
    <row r="6">
      <c r="A6" t="inlineStr">
        <is>
          <t>Kalshi 12 月会议加息</t>
        </is>
      </c>
      <c r="B6" t="inlineStr">
        <is>
          <t>0.8300000000000001</t>
        </is>
      </c>
      <c r="C6" t="inlineStr">
        <is>
          <t>Kalshi 公开 API KXFEDDECISION-26DEC</t>
        </is>
      </c>
      <c r="D6" t="inlineStr">
        <is>
          <t>2026-10-15 08:00 MYT</t>
        </is>
      </c>
    </row>
    <row r="7">
      <c r="A7" t="inlineStr">
        <is>
          <t>利率敏感度</t>
        </is>
      </c>
      <c r="B7" t="inlineStr">
        <is>
          <t>13 只</t>
        </is>
      </c>
      <c r="C7" t="inlineStr">
        <is>
          <t>事前书 §利率敏感度（过去一年回归，R² 低）</t>
        </is>
      </c>
      <c r="D7" t="inlineStr">
        <is>
          <t>2026-10-13T18:03:00+08:00</t>
        </is>
      </c>
    </row>
    <row r="8">
      <c r="A8" t="inlineStr">
        <is>
          <t>基础概率</t>
        </is>
      </c>
      <c r="B8" t="inlineStr">
        <is>
          <t>偏冷/符合/偏热 14%/33%/53%</t>
        </is>
      </c>
      <c r="C8" t="inlineStr">
        <is>
          <t>FRED CPILFESL 过去 36 个月</t>
        </is>
      </c>
      <c r="D8" t="inlineStr">
        <is>
          <t>本次运行</t>
        </is>
      </c>
    </row>
    <row r="9">
      <c r="A9" t="inlineStr">
        <is>
          <t>个股/指数涨跌</t>
        </is>
      </c>
      <c r="B9" t="inlineStr">
        <is>
          <t>17 项</t>
        </is>
      </c>
      <c r="C9" t="inlineStr">
        <is>
          <t>yfinance</t>
        </is>
      </c>
      <c r="D9" t="inlineStr">
        <is>
          <t>2026-10-14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No.</t>
        </is>
      </c>
      <c r="B1" s="1" t="inlineStr">
        <is>
          <t>Assumption</t>
        </is>
      </c>
      <c r="C1" s="1" t="inlineStr">
        <is>
          <t>Type</t>
        </is>
      </c>
      <c r="D1" s="1" t="inlineStr">
        <is>
          <t>Test / failure condition</t>
        </is>
      </c>
    </row>
    <row r="2">
      <c r="A2" t="n">
        <v>1</v>
      </c>
      <c r="B2" t="inlineStr">
        <is>
          <t>偏热阈值：核心环比 ≥0.25% 或意外 ≥+0.1pp</t>
        </is>
      </c>
      <c r="C2" t="inlineStr">
        <is>
          <t>ASSUMPTION</t>
        </is>
      </c>
      <c r="D2" t="inlineStr">
        <is>
          <t>若市场对 0.25% 无反应，阈值需上调</t>
        </is>
      </c>
    </row>
    <row r="3">
      <c r="A3" t="n">
        <v>2</v>
      </c>
      <c r="B3" t="inlineStr">
        <is>
          <t>利率敏感度在事件日仍成立</t>
        </is>
      </c>
      <c r="C3" t="inlineStr">
        <is>
          <t>HYPOTHESIS</t>
        </is>
      </c>
      <c r="D3" t="inlineStr">
        <is>
          <t>偏差 MAE &gt; 1.5pp 视为失效（Excel Sensitivity!MAE）</t>
        </is>
      </c>
    </row>
    <row r="4">
      <c r="A4" t="n">
        <v>3</v>
      </c>
      <c r="B4" t="inlineStr">
        <is>
          <t>Kalshi 最新成交价≈市场概率</t>
        </is>
      </c>
      <c r="C4" t="inlineStr">
        <is>
          <t>ASSUMPTION</t>
        </is>
      </c>
      <c r="D4" t="inlineStr">
        <is>
          <t>成交稀薄/价差 &gt;5c 时不可靠</t>
        </is>
      </c>
    </row>
    <row r="5">
      <c r="A5" t="n">
        <v>4</v>
      </c>
      <c r="B5" t="inlineStr">
        <is>
          <t>36 个月基础概率代表当前通胀体制</t>
        </is>
      </c>
      <c r="C5" t="inlineStr">
        <is>
          <t>ASSUMPTION</t>
        </is>
      </c>
      <c r="D5" t="inlineStr">
        <is>
          <t>若体制切换（如连续加息周期），基础概率需重算</t>
        </is>
      </c>
    </row>
    <row r="6">
      <c r="A6" t="n">
        <v>5</v>
      </c>
      <c r="B6" t="inlineStr">
        <is>
          <t>概率校准规则：差 &gt;20pp 收缩 ≥50%</t>
        </is>
      </c>
      <c r="C6" t="inlineStr">
        <is>
          <t>RULE (master prompt v2026-10-14)</t>
        </is>
      </c>
      <c r="D6" t="inlineStr">
        <is>
          <t>累计 Brier 若校准后更差则复核规则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2026-10-15T00:00:43Z</dcterms:created>
  <dcterms:modified xmlns:dcterms="http://purl.org/dc/terms/" xmlns:xsi="http://www.w3.org/2001/XMLSchema-instance" xsi:type="dcterms:W3CDTF">2026-10-15T00:00:43Z</dcterms:modified>
</cp:coreProperties>
</file>