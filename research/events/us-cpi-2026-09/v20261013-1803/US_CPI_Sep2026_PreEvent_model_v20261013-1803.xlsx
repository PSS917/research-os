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nsensus" sheetId="2" state="visible" r:id="rId2"/>
    <sheet xmlns:r="http://schemas.openxmlformats.org/officeDocument/2006/relationships" name="BaseEffect" sheetId="3" state="visible" r:id="rId3"/>
    <sheet xmlns:r="http://schemas.openxmlformats.org/officeDocument/2006/relationships" name="Scenarios" sheetId="4" state="visible" r:id="rId4"/>
    <sheet xmlns:r="http://schemas.openxmlformats.org/officeDocument/2006/relationships" name="Reaction" sheetId="5" state="visible" r:id="rId5"/>
    <sheet xmlns:r="http://schemas.openxmlformats.org/officeDocument/2006/relationships" name="Valuation" sheetId="6" state="visible" r:id="rId6"/>
    <sheet xmlns:r="http://schemas.openxmlformats.org/officeDocument/2006/relationships" name="LiveChecklist" sheetId="7" state="visible" r:id="rId7"/>
    <sheet xmlns:r="http://schemas.openxmlformats.org/officeDocument/2006/relationships" name="SourceLedger" sheetId="8" state="visible" r:id="rId8"/>
    <sheet xmlns:r="http://schemas.openxmlformats.org/officeDocument/2006/relationships" name="AssumptionRegister" sheetId="9" state="visible" r:id="rId9"/>
    <sheet xmlns:r="http://schemas.openxmlformats.org/officeDocument/2006/relationships" name="ModelProvenance" sheetId="10" state="visible" r:id="rId10"/>
    <sheet xmlns:r="http://schemas.openxmlformats.org/officeDocument/2006/relationships" name="Changelo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US CPI (Sep 2026) Pre-Event Model｜美国9月CPI发布前模型  v20261013-1803</t>
        </is>
      </c>
    </row>
    <row r="2">
      <c r="A2" t="inlineStr">
        <is>
          <t>Release 发布: Wed 2026-10-14 08:30 ET = 20:30 SGT. Pre-event snapshot locked 2026-10-13 18:03 SGT — do not edit; post-event values go in 'LiveChecklist' Actual column only.</t>
        </is>
      </c>
    </row>
    <row r="3">
      <c r="A3" t="inlineStr">
        <is>
          <t>Yellow cells = assumptions/inputs (黄色=假设). All other numbers are formulas or sourced data.</t>
        </is>
      </c>
    </row>
    <row r="4">
      <c r="A4" t="inlineStr">
        <is>
          <t>Sheets: Consensus · BaseEffect · Scenarios · Reaction · Valuation · LiveChecklist · SourceLedger · AssumptionRegister · ModelProvenance · Changelog</t>
        </is>
      </c>
    </row>
    <row r="5">
      <c r="A5" t="inlineStr">
        <is>
          <t>Not investment advice｜非投资建议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10" customWidth="1" min="4" max="4"/>
    <col width="10" customWidth="1" min="5" max="5"/>
    <col width="18" customWidth="1" min="6" max="6"/>
    <col width="16" customWidth="1" min="7" max="7"/>
    <col width="48" customWidth="1" min="8" max="8"/>
  </cols>
  <sheetData>
    <row r="1">
      <c r="A1" s="1" t="inlineStr">
        <is>
          <t>Measure 指标</t>
        </is>
      </c>
      <c r="B1" s="1" t="inlineStr">
        <is>
          <t>Prior Aug 前值</t>
        </is>
      </c>
      <c r="C1" s="1" t="inlineStr">
        <is>
          <t>Consensus 共识</t>
        </is>
      </c>
      <c r="D1" s="1" t="inlineStr">
        <is>
          <t>Range low</t>
        </is>
      </c>
      <c r="E1" s="1" t="inlineStr">
        <is>
          <t>Range high</t>
        </is>
      </c>
      <c r="F1" s="1" t="inlineStr">
        <is>
          <t>OS hypothesis 我们</t>
        </is>
      </c>
      <c r="G1" s="1" t="inlineStr">
        <is>
          <t>Gap OS−Cons (pp)</t>
        </is>
      </c>
      <c r="H1" s="1" t="inlineStr">
        <is>
          <t>Source 来源</t>
        </is>
      </c>
    </row>
    <row r="2">
      <c r="A2" t="inlineStr">
        <is>
          <t>Headline CPI MoM %</t>
        </is>
      </c>
      <c r="B2" t="n">
        <v>0.4</v>
      </c>
      <c r="C2" t="n">
        <v>0.6</v>
      </c>
      <c r="D2" t="n">
        <v>0.5</v>
      </c>
      <c r="E2" t="n">
        <v>0.7</v>
      </c>
      <c r="F2" s="2" t="n">
        <v>0.58</v>
      </c>
      <c r="G2">
        <f>F2-C2</f>
        <v/>
      </c>
      <c r="H2" t="inlineStr">
        <is>
          <t>FinancialJuice 10/12; TD 10/9 (FactSet 0.5)</t>
        </is>
      </c>
    </row>
    <row r="3">
      <c r="A3" t="inlineStr">
        <is>
          <t>Headline CPI YoY %</t>
        </is>
      </c>
      <c r="B3" t="n">
        <v>3.4</v>
      </c>
      <c r="C3" t="n">
        <v>3.6</v>
      </c>
      <c r="D3" t="n">
        <v>3.5</v>
      </c>
      <c r="E3" t="n">
        <v>3.8</v>
      </c>
      <c r="F3" s="2" t="n">
        <v>3.6</v>
      </c>
      <c r="G3">
        <f>F3-C3</f>
        <v/>
      </c>
      <c r="H3" t="inlineStr">
        <is>
          <t>FinancialJuice 10/12; TD 10/9; FactSet</t>
        </is>
      </c>
    </row>
    <row r="4">
      <c r="A4" t="inlineStr">
        <is>
          <t>Core CPI MoM %</t>
        </is>
      </c>
      <c r="B4" t="n">
        <v>0.3</v>
      </c>
      <c r="C4" t="n">
        <v>0.2</v>
      </c>
      <c r="D4" t="n">
        <v>0.2</v>
      </c>
      <c r="E4" t="n">
        <v>0.3</v>
      </c>
      <c r="F4" s="2" t="n">
        <v>0.22</v>
      </c>
      <c r="G4">
        <f>F4-C4</f>
        <v/>
      </c>
      <c r="H4" t="inlineStr">
        <is>
          <t>FinancialJuice 10/12; TD 10/9; FactSet</t>
        </is>
      </c>
    </row>
    <row r="5">
      <c r="A5" t="inlineStr">
        <is>
          <t>Core CPI YoY %</t>
        </is>
      </c>
      <c r="B5" t="n">
        <v>2.4</v>
      </c>
      <c r="C5" t="n">
        <v>2.5</v>
      </c>
      <c r="D5" t="n">
        <v>2.3</v>
      </c>
      <c r="E5" t="n">
        <v>2.6</v>
      </c>
      <c r="F5" s="2" t="n">
        <v>2.4</v>
      </c>
      <c r="G5">
        <f>F5-C5</f>
        <v/>
      </c>
      <c r="H5" t="inlineStr">
        <is>
          <t>TD/FJ 2.5 vs FactSet 2.4 (CONFLICT logged)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40" customWidth="1" min="4" max="4"/>
  </cols>
  <sheetData>
    <row r="1">
      <c r="A1" s="1" t="inlineStr">
        <is>
          <t>Item 项目</t>
        </is>
      </c>
      <c r="B1" s="1" t="inlineStr">
        <is>
          <t>Headline 整体</t>
        </is>
      </c>
      <c r="C1" s="1" t="inlineStr">
        <is>
          <t>Core 核心</t>
        </is>
      </c>
      <c r="D1" s="1" t="inlineStr">
        <is>
          <t>Note 说明</t>
        </is>
      </c>
    </row>
    <row r="2">
      <c r="A2" t="inlineStr">
        <is>
          <t>Index Aug-2026 (SA, FRED)</t>
        </is>
      </c>
      <c r="B2" t="n">
        <v>334.131</v>
      </c>
      <c r="C2" t="n">
        <v>337.765</v>
      </c>
      <c r="D2" t="inlineStr">
        <is>
          <t>FRED CPIAUCSL / CPILFESL</t>
        </is>
      </c>
    </row>
    <row r="3">
      <c r="A3" t="inlineStr">
        <is>
          <t>Index Sep-2025 (SA, FRED)</t>
        </is>
      </c>
      <c r="B3" t="n">
        <v>324.245</v>
      </c>
      <c r="C3" t="n">
        <v>330.418</v>
      </c>
      <c r="D3" t="inlineStr">
        <is>
          <t>base month 基期</t>
        </is>
      </c>
    </row>
    <row r="4">
      <c r="A4" t="inlineStr">
        <is>
          <t>Assumed Sep MoM % 假设环比</t>
        </is>
      </c>
      <c r="B4" s="2" t="n">
        <v>0.58</v>
      </c>
      <c r="C4" s="2" t="n">
        <v>0.22</v>
      </c>
      <c r="D4" t="inlineStr">
        <is>
          <t>INPUT — change to test 修改测试</t>
        </is>
      </c>
    </row>
    <row r="5">
      <c r="A5" t="inlineStr">
        <is>
          <t>Implied Sep-2026 index</t>
        </is>
      </c>
      <c r="B5">
        <f>B2*(1+B4/100)</f>
        <v/>
      </c>
      <c r="C5">
        <f>C2*(1+C4/100)</f>
        <v/>
      </c>
      <c r="D5" t="inlineStr">
        <is>
          <t>formula</t>
        </is>
      </c>
    </row>
    <row r="6">
      <c r="A6" t="inlineStr">
        <is>
          <t>Implied YoY % (SA approx.)</t>
        </is>
      </c>
      <c r="B6">
        <f>(B5/B3-1)*100</f>
        <v/>
      </c>
      <c r="C6">
        <f>(C5/C3-1)*100</f>
        <v/>
      </c>
      <c r="D6" t="inlineStr">
        <is>
          <t>official YoY uses NSA — ±0.05pp</t>
        </is>
      </c>
    </row>
    <row r="7">
      <c r="A7" t="inlineStr">
        <is>
          <t>Index Jun-2026</t>
        </is>
      </c>
      <c r="B7" t="n">
        <v>332.568</v>
      </c>
      <c r="C7" t="n">
        <v>336.065</v>
      </c>
      <c r="D7" t="inlineStr">
        <is>
          <t>for 3m annualised</t>
        </is>
      </c>
    </row>
    <row r="8">
      <c r="A8" t="inlineStr">
        <is>
          <t>3m annualised % 三个月年化</t>
        </is>
      </c>
      <c r="B8">
        <f>((B5/B7)^4-1)*100</f>
        <v/>
      </c>
      <c r="C8">
        <f>((C5/C7)^4-1)*100</f>
        <v/>
      </c>
      <c r="D8" t="inlineStr">
        <is>
          <t>Jun weak base drops out → jumps</t>
        </is>
      </c>
    </row>
    <row r="9">
      <c r="A9" t="inlineStr">
        <is>
          <t>Core MoM needed for YoY to round to 2.5% (≥2.45)</t>
        </is>
      </c>
      <c r="B9" t="inlineStr"/>
      <c r="C9">
        <f>((C3*1.0245)/C2-1)*100</f>
        <v/>
      </c>
      <c r="D9" t="inlineStr">
        <is>
          <t>break-even 临界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14" customWidth="1" min="4" max="4"/>
    <col width="9" customWidth="1" min="5" max="5"/>
    <col width="9" customWidth="1" min="6" max="6"/>
    <col width="11" customWidth="1" min="7" max="7"/>
    <col width="9" customWidth="1" min="8" max="8"/>
    <col width="9" customWidth="1" min="9" max="9"/>
    <col width="14" customWidth="1" min="10" max="10"/>
  </cols>
  <sheetData>
    <row r="1">
      <c r="A1" s="1" t="inlineStr">
        <is>
          <t>Scenario 情景</t>
        </is>
      </c>
      <c r="B1" s="1" t="inlineStr">
        <is>
          <t>Core MoM range</t>
        </is>
      </c>
      <c r="C1" s="1" t="inlineStr">
        <is>
          <t>Prob 概率</t>
        </is>
      </c>
      <c r="D1" s="1" t="inlineStr">
        <is>
          <t>Core MoM point</t>
        </is>
      </c>
      <c r="E1" s="1" t="inlineStr">
        <is>
          <t>Δ2Y bp</t>
        </is>
      </c>
      <c r="F1" s="1" t="inlineStr">
        <is>
          <t>Δ10Y bp</t>
        </is>
      </c>
      <c r="G1" s="1" t="inlineStr">
        <is>
          <t>ΔUSDJPY ¥</t>
        </is>
      </c>
      <c r="H1" s="1" t="inlineStr">
        <is>
          <t>ΔNDX %</t>
        </is>
      </c>
      <c r="I1" s="1" t="inlineStr">
        <is>
          <t>ΔSOX %</t>
        </is>
      </c>
      <c r="J1" s="1" t="inlineStr">
        <is>
          <t>Oct hike odds %</t>
        </is>
      </c>
    </row>
    <row r="2">
      <c r="A2" t="inlineStr">
        <is>
          <t>Cool 偏冷</t>
        </is>
      </c>
      <c r="B2" t="inlineStr">
        <is>
          <t>≤0.15</t>
        </is>
      </c>
      <c r="C2" s="2" t="n">
        <v>0.25</v>
      </c>
      <c r="D2" s="2" t="n">
        <v>0.12</v>
      </c>
      <c r="E2" s="2" t="n">
        <v>-10</v>
      </c>
      <c r="F2" s="2" t="n">
        <v>-7</v>
      </c>
      <c r="G2" s="2" t="n">
        <v>-0.8</v>
      </c>
      <c r="H2" s="2" t="n">
        <v>1.1</v>
      </c>
      <c r="I2" s="2" t="n">
        <v>1.8</v>
      </c>
      <c r="J2" s="2" t="n">
        <v>10</v>
      </c>
    </row>
    <row r="3">
      <c r="A3" t="inlineStr">
        <is>
          <t>Inline 符合</t>
        </is>
      </c>
      <c r="B3" t="inlineStr">
        <is>
          <t>0.16–0.24</t>
        </is>
      </c>
      <c r="C3" s="2" t="n">
        <v>0.5</v>
      </c>
      <c r="D3" s="2" t="n">
        <v>0.2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18</v>
      </c>
    </row>
    <row r="4">
      <c r="A4" t="inlineStr">
        <is>
          <t>Hot 偏热</t>
        </is>
      </c>
      <c r="B4" t="inlineStr">
        <is>
          <t>≥0.25</t>
        </is>
      </c>
      <c r="C4" s="2" t="n">
        <v>0.25</v>
      </c>
      <c r="D4" s="2" t="n">
        <v>0.3</v>
      </c>
      <c r="E4" s="2" t="n">
        <v>12</v>
      </c>
      <c r="F4" s="2" t="n">
        <v>8</v>
      </c>
      <c r="G4" s="2" t="n">
        <v>0.8</v>
      </c>
      <c r="H4" s="2" t="n">
        <v>-1.5</v>
      </c>
      <c r="I4" s="2" t="n">
        <v>-2.3</v>
      </c>
      <c r="J4" s="2" t="n">
        <v>32</v>
      </c>
    </row>
    <row r="5">
      <c r="A5" t="inlineStr">
        <is>
          <t>Prob-weighted 概率加权</t>
        </is>
      </c>
      <c r="B5" t="inlineStr"/>
      <c r="C5">
        <f>SUM(C2:C4)</f>
        <v/>
      </c>
      <c r="D5">
        <f>SUMPRODUCT($C$2:$C$4,D2:D4)</f>
        <v/>
      </c>
      <c r="E5">
        <f>SUMPRODUCT($C$2:$C$4,E2:E4)</f>
        <v/>
      </c>
      <c r="F5">
        <f>SUMPRODUCT($C$2:$C$4,F2:F4)</f>
        <v/>
      </c>
      <c r="G5">
        <f>SUMPRODUCT($C$2:$C$4,G2:G4)</f>
        <v/>
      </c>
      <c r="H5">
        <f>SUMPRODUCT($C$2:$C$4,H2:H4)</f>
        <v/>
      </c>
      <c r="I5">
        <f>SUMPRODUCT($C$2:$C$4,I2:I4)</f>
        <v/>
      </c>
      <c r="J5">
        <f>SUMPRODUCT($C$2:$C$4,J2:J4)</f>
        <v/>
      </c>
    </row>
    <row r="6">
      <c r="A6" t="inlineStr">
        <is>
          <t>Check: probs sum to 1</t>
        </is>
      </c>
      <c r="B6" t="inlineStr"/>
      <c r="C6">
        <f>IF(ABS(C5-1)&lt;0.0001,"OK","FIX")</f>
        <v/>
      </c>
    </row>
    <row r="7">
      <c r="A7" t="inlineStr">
        <is>
          <t>Market pricing (Kalshi, 10/13): Oct hike ≈20%, Dec ≈73% — MARKET EXPECTATION, predictionauthority.com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8" customWidth="1" min="3" max="3"/>
    <col width="8" customWidth="1" min="4" max="4"/>
    <col width="12" customWidth="1" min="5" max="5"/>
    <col width="14" customWidth="1" min="6" max="6"/>
    <col width="10" customWidth="1" min="7" max="7"/>
    <col width="14" customWidth="1" min="8" max="8"/>
    <col width="16" customWidth="1" min="9" max="9"/>
  </cols>
  <sheetData>
    <row r="1">
      <c r="A1" s="1" t="inlineStr">
        <is>
          <t>Ticker</t>
        </is>
      </c>
      <c r="B1" s="1" t="inlineStr">
        <is>
          <t>Beta %/+10bp 10Y (DATA)</t>
        </is>
      </c>
      <c r="C1" s="1" t="inlineStr">
        <is>
          <t>Corr</t>
        </is>
      </c>
      <c r="D1" s="1" t="inlineStr">
        <is>
          <t>R²</t>
        </is>
      </c>
      <c r="E1" s="1" t="inlineStr">
        <is>
          <t>Price 10/12</t>
        </is>
      </c>
      <c r="F1" s="1" t="inlineStr">
        <is>
          <t>Cool Δ10Y→%</t>
        </is>
      </c>
      <c r="G1" s="1" t="inlineStr">
        <is>
          <t>Inline</t>
        </is>
      </c>
      <c r="H1" s="1" t="inlineStr">
        <is>
          <t>Hot Δ10Y→%</t>
        </is>
      </c>
      <c r="I1" s="1" t="inlineStr">
        <is>
          <t>Hot $ move/share</t>
        </is>
      </c>
    </row>
    <row r="2">
      <c r="A2" t="inlineStr">
        <is>
          <t>SPCX</t>
        </is>
      </c>
      <c r="B2" t="n">
        <v>-2.558</v>
      </c>
      <c r="C2" t="n">
        <v>-0.2</v>
      </c>
      <c r="D2">
        <f>C2^2</f>
        <v/>
      </c>
      <c r="E2" t="n">
        <v>163.42</v>
      </c>
      <c r="F2">
        <f>B2*Scenarios!$F$2/10</f>
        <v/>
      </c>
      <c r="G2">
        <f>B2*Scenarios!$F$3/10</f>
        <v/>
      </c>
      <c r="H2">
        <f>B2*Scenarios!$F$4/10</f>
        <v/>
      </c>
      <c r="I2">
        <f>E2*H2/100</f>
        <v/>
      </c>
    </row>
    <row r="3">
      <c r="A3" t="inlineStr">
        <is>
          <t>TSLA</t>
        </is>
      </c>
      <c r="B3" t="n">
        <v>-0.871</v>
      </c>
      <c r="C3" t="n">
        <v>-0.123</v>
      </c>
      <c r="D3">
        <f>C3^2</f>
        <v/>
      </c>
      <c r="E3" t="n">
        <v>378.03</v>
      </c>
      <c r="F3">
        <f>B3*Scenarios!$F$2/10</f>
        <v/>
      </c>
      <c r="G3">
        <f>B3*Scenarios!$F$3/10</f>
        <v/>
      </c>
      <c r="H3">
        <f>B3*Scenarios!$F$4/10</f>
        <v/>
      </c>
      <c r="I3">
        <f>E3*H3/100</f>
        <v/>
      </c>
    </row>
    <row r="4">
      <c r="A4" t="inlineStr">
        <is>
          <t>NVDA</t>
        </is>
      </c>
      <c r="B4" t="n">
        <v>-0.438</v>
      </c>
      <c r="C4" t="n">
        <v>-0.075</v>
      </c>
      <c r="D4">
        <f>C4^2</f>
        <v/>
      </c>
      <c r="E4" t="n">
        <v>226.32</v>
      </c>
      <c r="F4">
        <f>B4*Scenarios!$F$2/10</f>
        <v/>
      </c>
      <c r="G4">
        <f>B4*Scenarios!$F$3/10</f>
        <v/>
      </c>
      <c r="H4">
        <f>B4*Scenarios!$F$4/10</f>
        <v/>
      </c>
      <c r="I4">
        <f>E4*H4/100</f>
        <v/>
      </c>
    </row>
    <row r="5">
      <c r="A5" t="inlineStr">
        <is>
          <t>MU</t>
        </is>
      </c>
      <c r="B5" t="n">
        <v>-0.735</v>
      </c>
      <c r="C5" t="n">
        <v>-0.059</v>
      </c>
      <c r="D5">
        <f>C5^2</f>
        <v/>
      </c>
      <c r="E5" t="n">
        <v>989.04</v>
      </c>
      <c r="F5">
        <f>B5*Scenarios!$F$2/10</f>
        <v/>
      </c>
      <c r="G5">
        <f>B5*Scenarios!$F$3/10</f>
        <v/>
      </c>
      <c r="H5">
        <f>B5*Scenarios!$F$4/10</f>
        <v/>
      </c>
      <c r="I5">
        <f>E5*H5/100</f>
        <v/>
      </c>
    </row>
    <row r="6">
      <c r="A6" t="inlineStr">
        <is>
          <t>GLW</t>
        </is>
      </c>
      <c r="B6" t="n">
        <v>-1.492</v>
      </c>
      <c r="C6" t="n">
        <v>-0.132</v>
      </c>
      <c r="D6">
        <f>C6^2</f>
        <v/>
      </c>
      <c r="E6" t="n">
        <v>147.28</v>
      </c>
      <c r="F6">
        <f>B6*Scenarios!$F$2/10</f>
        <v/>
      </c>
      <c r="G6">
        <f>B6*Scenarios!$F$3/10</f>
        <v/>
      </c>
      <c r="H6">
        <f>B6*Scenarios!$F$4/10</f>
        <v/>
      </c>
      <c r="I6">
        <f>E6*H6/100</f>
        <v/>
      </c>
    </row>
    <row r="7">
      <c r="A7" t="inlineStr">
        <is>
          <t>ARM</t>
        </is>
      </c>
      <c r="B7" t="n">
        <v>-2.563</v>
      </c>
      <c r="C7" t="n">
        <v>-0.208</v>
      </c>
      <c r="D7">
        <f>C7^2</f>
        <v/>
      </c>
      <c r="E7" t="n">
        <v>255.24</v>
      </c>
      <c r="F7">
        <f>B7*Scenarios!$F$2/10</f>
        <v/>
      </c>
      <c r="G7">
        <f>B7*Scenarios!$F$3/10</f>
        <v/>
      </c>
      <c r="H7">
        <f>B7*Scenarios!$F$4/10</f>
        <v/>
      </c>
      <c r="I7">
        <f>E7*H7/100</f>
        <v/>
      </c>
    </row>
    <row r="8">
      <c r="A8" t="inlineStr">
        <is>
          <t>AAPL</t>
        </is>
      </c>
      <c r="B8" t="n">
        <v>-0.451</v>
      </c>
      <c r="C8" t="n">
        <v>-0.119</v>
      </c>
      <c r="D8">
        <f>C8^2</f>
        <v/>
      </c>
      <c r="E8" t="n">
        <v>340.97</v>
      </c>
      <c r="F8">
        <f>B8*Scenarios!$F$2/10</f>
        <v/>
      </c>
      <c r="G8">
        <f>B8*Scenarios!$F$3/10</f>
        <v/>
      </c>
      <c r="H8">
        <f>B8*Scenarios!$F$4/10</f>
        <v/>
      </c>
      <c r="I8">
        <f>E8*H8/100</f>
        <v/>
      </c>
    </row>
    <row r="9">
      <c r="A9" t="inlineStr">
        <is>
          <t>TSM</t>
        </is>
      </c>
      <c r="B9" t="n">
        <v>-0.709</v>
      </c>
      <c r="C9" t="n">
        <v>-0.114</v>
      </c>
      <c r="D9">
        <f>C9^2</f>
        <v/>
      </c>
      <c r="E9" t="n">
        <v>444.35</v>
      </c>
      <c r="F9">
        <f>B9*Scenarios!$F$2/10</f>
        <v/>
      </c>
      <c r="G9">
        <f>B9*Scenarios!$F$3/10</f>
        <v/>
      </c>
      <c r="H9">
        <f>B9*Scenarios!$F$4/10</f>
        <v/>
      </c>
      <c r="I9">
        <f>E9*H9/100</f>
        <v/>
      </c>
    </row>
    <row r="10">
      <c r="A10" t="inlineStr">
        <is>
          <t>AVGO</t>
        </is>
      </c>
      <c r="B10" t="n">
        <v>-0.754</v>
      </c>
      <c r="C10" t="n">
        <v>-0.104</v>
      </c>
      <c r="D10">
        <f>C10^2</f>
        <v/>
      </c>
      <c r="E10" t="n">
        <v>354.73</v>
      </c>
      <c r="F10">
        <f>B10*Scenarios!$F$2/10</f>
        <v/>
      </c>
      <c r="G10">
        <f>B10*Scenarios!$F$3/10</f>
        <v/>
      </c>
      <c r="H10">
        <f>B10*Scenarios!$F$4/10</f>
        <v/>
      </c>
      <c r="I10">
        <f>E10*H10/100</f>
        <v/>
      </c>
    </row>
    <row r="11">
      <c r="A11" t="inlineStr">
        <is>
          <t>QCOM</t>
        </is>
      </c>
      <c r="B11" t="n">
        <v>-1.156</v>
      </c>
      <c r="C11" t="n">
        <v>-0.138</v>
      </c>
      <c r="D11">
        <f>C11^2</f>
        <v/>
      </c>
      <c r="E11" t="n">
        <v>174.43</v>
      </c>
      <c r="F11">
        <f>B11*Scenarios!$F$2/10</f>
        <v/>
      </c>
      <c r="G11">
        <f>B11*Scenarios!$F$3/10</f>
        <v/>
      </c>
      <c r="H11">
        <f>B11*Scenarios!$F$4/10</f>
        <v/>
      </c>
      <c r="I11">
        <f>E11*H11/100</f>
        <v/>
      </c>
    </row>
    <row r="12">
      <c r="A12" t="inlineStr">
        <is>
          <t>MRVL</t>
        </is>
      </c>
      <c r="B12" t="n">
        <v>-1.84</v>
      </c>
      <c r="C12" t="n">
        <v>-0.151</v>
      </c>
      <c r="D12">
        <f>C12^2</f>
        <v/>
      </c>
      <c r="E12" t="n">
        <v>265.86</v>
      </c>
      <c r="F12">
        <f>B12*Scenarios!$F$2/10</f>
        <v/>
      </c>
      <c r="G12">
        <f>B12*Scenarios!$F$3/10</f>
        <v/>
      </c>
      <c r="H12">
        <f>B12*Scenarios!$F$4/10</f>
        <v/>
      </c>
      <c r="I12">
        <f>E12*H12/100</f>
        <v/>
      </c>
    </row>
    <row r="13">
      <c r="A13" t="inlineStr">
        <is>
          <t>INTC</t>
        </is>
      </c>
      <c r="B13" t="n">
        <v>-1.531</v>
      </c>
      <c r="C13" t="n">
        <v>-0.129</v>
      </c>
      <c r="D13">
        <f>C13^2</f>
        <v/>
      </c>
      <c r="E13" t="n">
        <v>101.35</v>
      </c>
      <c r="F13">
        <f>B13*Scenarios!$F$2/10</f>
        <v/>
      </c>
      <c r="G13">
        <f>B13*Scenarios!$F$3/10</f>
        <v/>
      </c>
      <c r="H13">
        <f>B13*Scenarios!$F$4/10</f>
        <v/>
      </c>
      <c r="I13">
        <f>E13*H13/100</f>
        <v/>
      </c>
    </row>
    <row r="14">
      <c r="A14" t="inlineStr">
        <is>
          <t>LITE</t>
        </is>
      </c>
      <c r="B14" t="n">
        <v>0.493</v>
      </c>
      <c r="C14" t="n">
        <v>0.032</v>
      </c>
      <c r="D14">
        <f>C14^2</f>
        <v/>
      </c>
      <c r="E14" t="n">
        <v>995.41</v>
      </c>
      <c r="F14">
        <f>B14*Scenarios!$F$2/10</f>
        <v/>
      </c>
      <c r="G14">
        <f>B14*Scenarios!$F$3/10</f>
        <v/>
      </c>
      <c r="H14">
        <f>B14*Scenarios!$F$4/10</f>
        <v/>
      </c>
      <c r="I14">
        <f>E14*H14/100</f>
        <v/>
      </c>
    </row>
    <row r="15">
      <c r="A15" t="inlineStr">
        <is>
          <t>PLTR</t>
        </is>
      </c>
      <c r="B15" t="n">
        <v>-0.666</v>
      </c>
      <c r="C15" t="n">
        <v>-0.07099999999999999</v>
      </c>
      <c r="D15">
        <f>C15^2</f>
        <v/>
      </c>
      <c r="E15" t="n">
        <v>209</v>
      </c>
      <c r="F15">
        <f>B15*Scenarios!$F$2/10</f>
        <v/>
      </c>
      <c r="G15">
        <f>B15*Scenarios!$F$3/10</f>
        <v/>
      </c>
      <c r="H15">
        <f>B15*Scenarios!$F$4/10</f>
        <v/>
      </c>
      <c r="I15">
        <f>E15*H15/100</f>
        <v/>
      </c>
    </row>
    <row r="16">
      <c r="A16" t="inlineStr">
        <is>
          <t>CRWD</t>
        </is>
      </c>
      <c r="B16" t="n">
        <v>-0.288</v>
      </c>
      <c r="C16" t="n">
        <v>-0.034</v>
      </c>
      <c r="D16">
        <f>C16^2</f>
        <v/>
      </c>
      <c r="E16" t="n">
        <v>263.01</v>
      </c>
      <c r="F16">
        <f>B16*Scenarios!$F$2/10</f>
        <v/>
      </c>
      <c r="G16">
        <f>B16*Scenarios!$F$3/10</f>
        <v/>
      </c>
      <c r="H16">
        <f>B16*Scenarios!$F$4/10</f>
        <v/>
      </c>
      <c r="I16">
        <f>E16*H16/100</f>
        <v/>
      </c>
    </row>
    <row r="17">
      <c r="A17" t="inlineStr">
        <is>
          <t>CRWV</t>
        </is>
      </c>
      <c r="B17" t="n">
        <v>-0.077</v>
      </c>
      <c r="C17" t="n">
        <v>-0.005</v>
      </c>
      <c r="D17">
        <f>C17^2</f>
        <v/>
      </c>
      <c r="E17" t="n">
        <v>80.26000000000001</v>
      </c>
      <c r="F17">
        <f>B17*Scenarios!$F$2/10</f>
        <v/>
      </c>
      <c r="G17">
        <f>B17*Scenarios!$F$3/10</f>
        <v/>
      </c>
      <c r="H17">
        <f>B17*Scenarios!$F$4/10</f>
        <v/>
      </c>
      <c r="I17">
        <f>E17*H17/100</f>
        <v/>
      </c>
    </row>
    <row r="18">
      <c r="A18" t="inlineStr">
        <is>
          <t>CIEN</t>
        </is>
      </c>
      <c r="B18" t="n">
        <v>-1.18</v>
      </c>
      <c r="C18" t="n">
        <v>-0.102</v>
      </c>
      <c r="D18">
        <f>C18^2</f>
        <v/>
      </c>
      <c r="E18" t="n">
        <v>405.01</v>
      </c>
      <c r="F18">
        <f>B18*Scenarios!$F$2/10</f>
        <v/>
      </c>
      <c r="G18">
        <f>B18*Scenarios!$F$3/10</f>
        <v/>
      </c>
      <c r="H18">
        <f>B18*Scenarios!$F$4/10</f>
        <v/>
      </c>
      <c r="I18">
        <f>E18*H18/100</f>
        <v/>
      </c>
    </row>
    <row r="19">
      <c r="A19" t="inlineStr">
        <is>
          <t>COHR</t>
        </is>
      </c>
      <c r="B19" t="n">
        <v>-0.665</v>
      </c>
      <c r="C19" t="n">
        <v>-0.049</v>
      </c>
      <c r="D19">
        <f>C19^2</f>
        <v/>
      </c>
      <c r="E19" t="n">
        <v>288.02</v>
      </c>
      <c r="F19">
        <f>B19*Scenarios!$F$2/10</f>
        <v/>
      </c>
      <c r="G19">
        <f>B19*Scenarios!$F$3/10</f>
        <v/>
      </c>
      <c r="H19">
        <f>B19*Scenarios!$F$4/10</f>
        <v/>
      </c>
      <c r="I19">
        <f>E19*H19/100</f>
        <v/>
      </c>
    </row>
    <row r="20">
      <c r="A20" t="inlineStr">
        <is>
          <t>KLAC</t>
        </is>
      </c>
      <c r="B20" t="n">
        <v>-1.206</v>
      </c>
      <c r="C20" t="n">
        <v>-0.129</v>
      </c>
      <c r="D20">
        <f>C20^2</f>
        <v/>
      </c>
      <c r="E20" t="n">
        <v>190.12</v>
      </c>
      <c r="F20">
        <f>B20*Scenarios!$F$2/10</f>
        <v/>
      </c>
      <c r="G20">
        <f>B20*Scenarios!$F$3/10</f>
        <v/>
      </c>
      <c r="H20">
        <f>B20*Scenarios!$F$4/10</f>
        <v/>
      </c>
      <c r="I20">
        <f>E20*H20/100</f>
        <v/>
      </c>
    </row>
    <row r="21">
      <c r="A21" t="inlineStr">
        <is>
          <t>AMAT</t>
        </is>
      </c>
      <c r="B21" t="n">
        <v>-0.746</v>
      </c>
      <c r="C21" t="n">
        <v>-0.081</v>
      </c>
      <c r="D21">
        <f>C21^2</f>
        <v/>
      </c>
      <c r="E21" t="n">
        <v>497.53</v>
      </c>
      <c r="F21">
        <f>B21*Scenarios!$F$2/10</f>
        <v/>
      </c>
      <c r="G21">
        <f>B21*Scenarios!$F$3/10</f>
        <v/>
      </c>
      <c r="H21">
        <f>B21*Scenarios!$F$4/10</f>
        <v/>
      </c>
      <c r="I21">
        <f>E21*H21/100</f>
        <v/>
      </c>
    </row>
    <row r="22">
      <c r="A22" t="inlineStr">
        <is>
          <t>AMD</t>
        </is>
      </c>
      <c r="B22" t="n">
        <v>-1.051</v>
      </c>
      <c r="C22" t="n">
        <v>-0.094</v>
      </c>
      <c r="D22">
        <f>C22^2</f>
        <v/>
      </c>
      <c r="E22" t="n">
        <v>594.24</v>
      </c>
      <c r="F22">
        <f>B22*Scenarios!$F$2/10</f>
        <v/>
      </c>
      <c r="G22">
        <f>B22*Scenarios!$F$3/10</f>
        <v/>
      </c>
      <c r="H22">
        <f>B22*Scenarios!$F$4/10</f>
        <v/>
      </c>
      <c r="I22">
        <f>E22*H22/100</f>
        <v/>
      </c>
    </row>
    <row r="23">
      <c r="A23" t="inlineStr">
        <is>
          <t>EME</t>
        </is>
      </c>
      <c r="B23" t="n">
        <v>-0.332</v>
      </c>
      <c r="C23" t="n">
        <v>-0.047</v>
      </c>
      <c r="D23">
        <f>C23^2</f>
        <v/>
      </c>
      <c r="E23" t="n">
        <v>779.16</v>
      </c>
      <c r="F23">
        <f>B23*Scenarios!$F$2/10</f>
        <v/>
      </c>
      <c r="G23">
        <f>B23*Scenarios!$F$3/10</f>
        <v/>
      </c>
      <c r="H23">
        <f>B23*Scenarios!$F$4/10</f>
        <v/>
      </c>
      <c r="I23">
        <f>E23*H23/100</f>
        <v/>
      </c>
    </row>
    <row r="24">
      <c r="A24" t="inlineStr">
        <is>
          <t>PWR</t>
        </is>
      </c>
      <c r="B24" t="n">
        <v>-0.345</v>
      </c>
      <c r="C24" t="n">
        <v>-0.05</v>
      </c>
      <c r="D24">
        <f>C24^2</f>
        <v/>
      </c>
      <c r="E24" t="n">
        <v>694.79</v>
      </c>
      <c r="F24">
        <f>B24*Scenarios!$F$2/10</f>
        <v/>
      </c>
      <c r="G24">
        <f>B24*Scenarios!$F$3/10</f>
        <v/>
      </c>
      <c r="H24">
        <f>B24*Scenarios!$F$4/10</f>
        <v/>
      </c>
      <c r="I24">
        <f>E24*H24/100</f>
        <v/>
      </c>
    </row>
    <row r="25">
      <c r="A25" t="inlineStr">
        <is>
          <t>CCL</t>
        </is>
      </c>
      <c r="B25" t="n">
        <v>-2.594</v>
      </c>
      <c r="C25" t="n">
        <v>-0.34</v>
      </c>
      <c r="D25">
        <f>C25^2</f>
        <v/>
      </c>
      <c r="E25" t="n">
        <v>26.48</v>
      </c>
      <c r="F25">
        <f>B25*Scenarios!$F$2/10</f>
        <v/>
      </c>
      <c r="G25">
        <f>B25*Scenarios!$F$3/10</f>
        <v/>
      </c>
      <c r="H25">
        <f>B25*Scenarios!$F$4/10</f>
        <v/>
      </c>
      <c r="I25">
        <f>E25*H25/100</f>
        <v/>
      </c>
    </row>
    <row r="26">
      <c r="A26" t="inlineStr">
        <is>
          <t>SIMO</t>
        </is>
      </c>
      <c r="B26" t="n">
        <v>1.154</v>
      </c>
      <c r="C26" t="n">
        <v>0.08699999999999999</v>
      </c>
      <c r="D26">
        <f>C26^2</f>
        <v/>
      </c>
      <c r="E26" t="n">
        <v>246.95</v>
      </c>
      <c r="F26">
        <f>B26*Scenarios!$F$2/10</f>
        <v/>
      </c>
      <c r="G26">
        <f>B26*Scenarios!$F$3/10</f>
        <v/>
      </c>
      <c r="H26">
        <f>B26*Scenarios!$F$4/10</f>
        <v/>
      </c>
      <c r="I26">
        <f>E26*H26/100</f>
        <v/>
      </c>
    </row>
    <row r="27">
      <c r="A27" t="inlineStr">
        <is>
          <t>RKLB</t>
        </is>
      </c>
      <c r="B27" t="n">
        <v>-1.774</v>
      </c>
      <c r="C27" t="n">
        <v>-0.123</v>
      </c>
      <c r="D27">
        <f>C27^2</f>
        <v/>
      </c>
      <c r="E27" t="n">
        <v>65.70999999999999</v>
      </c>
      <c r="F27">
        <f>B27*Scenarios!$F$2/10</f>
        <v/>
      </c>
      <c r="G27">
        <f>B27*Scenarios!$F$3/10</f>
        <v/>
      </c>
      <c r="H27">
        <f>B27*Scenarios!$F$4/10</f>
        <v/>
      </c>
      <c r="I27">
        <f>E27*H27/100</f>
        <v/>
      </c>
    </row>
    <row r="28">
      <c r="A28" t="inlineStr">
        <is>
          <t>MXL</t>
        </is>
      </c>
      <c r="B28" t="n">
        <v>0.339</v>
      </c>
      <c r="C28" t="n">
        <v>0.018</v>
      </c>
      <c r="D28">
        <f>C28^2</f>
        <v/>
      </c>
      <c r="E28" t="n">
        <v>88.98999999999999</v>
      </c>
      <c r="F28">
        <f>B28*Scenarios!$F$2/10</f>
        <v/>
      </c>
      <c r="G28">
        <f>B28*Scenarios!$F$3/10</f>
        <v/>
      </c>
      <c r="H28">
        <f>B28*Scenarios!$F$4/10</f>
        <v/>
      </c>
      <c r="I28">
        <f>E28*H28/100</f>
        <v/>
      </c>
    </row>
    <row r="29">
      <c r="A29" t="inlineStr">
        <is>
          <t>^NDX</t>
        </is>
      </c>
      <c r="B29" t="n">
        <v>-0.665</v>
      </c>
      <c r="C29" t="n">
        <v>-0.217</v>
      </c>
      <c r="D29">
        <f>C29^2</f>
        <v/>
      </c>
      <c r="E29" t="n">
        <v>30664.6992</v>
      </c>
      <c r="F29">
        <f>B29*Scenarios!$F$2/10</f>
        <v/>
      </c>
      <c r="G29">
        <f>B29*Scenarios!$F$3/10</f>
        <v/>
      </c>
      <c r="H29">
        <f>B29*Scenarios!$F$4/10</f>
        <v/>
      </c>
      <c r="I29">
        <f>E29*H29/100</f>
        <v/>
      </c>
    </row>
    <row r="30">
      <c r="A30" t="inlineStr">
        <is>
          <t>^SOX</t>
        </is>
      </c>
      <c r="B30" t="n">
        <v>-0.891</v>
      </c>
      <c r="C30" t="n">
        <v>-0.127</v>
      </c>
      <c r="D30">
        <f>C30^2</f>
        <v/>
      </c>
      <c r="E30" t="n">
        <v>12236.79</v>
      </c>
      <c r="F30">
        <f>B30*Scenarios!$F$2/10</f>
        <v/>
      </c>
      <c r="G30">
        <f>B30*Scenarios!$F$3/10</f>
        <v/>
      </c>
      <c r="H30">
        <f>B30*Scenarios!$F$4/10</f>
        <v/>
      </c>
      <c r="I30">
        <f>E30*H30/100</f>
        <v/>
      </c>
    </row>
    <row r="31">
      <c r="A31" t="inlineStr">
        <is>
          <t>Method: OLS of daily return on daily Δ^TNX (bp), 2025-10 → 2026-10-12, Yahoo closes. Rate-only component; ignores Industry/AI &amp; positioning terms. Low R² ⇒ low reliability.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4" customWidth="1" min="4" max="4"/>
    <col width="12" customWidth="1" min="5" max="5"/>
    <col width="16" customWidth="1" min="6" max="6"/>
    <col width="26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Base DCF/sh (OS model)</t>
        </is>
      </c>
      <c r="D1" s="1" t="inlineStr">
        <is>
          <t>WACC (OS model)</t>
        </is>
      </c>
      <c r="E1" s="1" t="inlineStr">
        <is>
          <t>g∞ assumption</t>
        </is>
      </c>
      <c r="F1" s="1" t="inlineStr">
        <is>
          <t>ΔWACC from Hot (bp)</t>
        </is>
      </c>
      <c r="G1" s="1" t="inlineStr">
        <is>
          <t>ΔValue % ≈ −ΔWACC/(WACC−g)</t>
        </is>
      </c>
      <c r="H1" s="1" t="inlineStr">
        <is>
          <t>Price-implied Y1 growth</t>
        </is>
      </c>
      <c r="I1" s="1" t="inlineStr">
        <is>
          <t>Consensus FY+1 growth</t>
        </is>
      </c>
      <c r="J1" s="1" t="inlineStr">
        <is>
          <t>Implied − Consensus (pp)</t>
        </is>
      </c>
    </row>
    <row r="2">
      <c r="A2" t="inlineStr">
        <is>
          <t>SPCX</t>
        </is>
      </c>
      <c r="B2" t="n">
        <v>163.42</v>
      </c>
      <c r="C2" t="n">
        <v>131.31</v>
      </c>
      <c r="D2" t="n">
        <v>0.1172</v>
      </c>
      <c r="E2" s="2" t="n">
        <v>0.03</v>
      </c>
      <c r="F2">
        <f>Scenarios!$F$4</f>
        <v/>
      </c>
      <c r="G2">
        <f>-(F2/10000)/(D2-E2)*100</f>
        <v/>
      </c>
      <c r="H2" t="n">
        <v>1.077967526374903</v>
      </c>
      <c r="I2" t="n">
        <v>1</v>
      </c>
      <c r="J2">
        <f>IF(OR(H2="",I2=""),"",(H2-I2)*100)</f>
        <v/>
      </c>
    </row>
    <row r="3">
      <c r="A3" t="inlineStr">
        <is>
          <t>TSLA</t>
        </is>
      </c>
      <c r="B3" t="n">
        <v>378.03</v>
      </c>
      <c r="C3" t="n">
        <v>44.2</v>
      </c>
      <c r="D3" t="n">
        <v>0.1322</v>
      </c>
      <c r="E3" s="2" t="n">
        <v>0.03</v>
      </c>
      <c r="F3">
        <f>Scenarios!$F$4</f>
        <v/>
      </c>
      <c r="G3">
        <f>-(F3/10000)/(D3-E3)*100</f>
        <v/>
      </c>
      <c r="H3" t="n">
        <v>0.8091475043449858</v>
      </c>
      <c r="I3" t="n">
        <v>0.1362</v>
      </c>
      <c r="J3">
        <f>IF(OR(H3="",I3=""),"",(H3-I3)*100)</f>
        <v/>
      </c>
    </row>
    <row r="4">
      <c r="A4" t="inlineStr">
        <is>
          <t>NVDA</t>
        </is>
      </c>
      <c r="B4" t="n">
        <v>226.32</v>
      </c>
      <c r="C4" t="n">
        <v>549.25</v>
      </c>
      <c r="D4" t="n">
        <v>0.1322</v>
      </c>
      <c r="E4" s="2" t="n">
        <v>0.03</v>
      </c>
      <c r="F4">
        <f>Scenarios!$F$4</f>
        <v/>
      </c>
      <c r="G4">
        <f>-(F4/10000)/(D4-E4)*100</f>
        <v/>
      </c>
      <c r="H4" t="n">
        <v>0.4096691503670272</v>
      </c>
      <c r="I4" t="n">
        <v>0.6815</v>
      </c>
      <c r="J4">
        <f>IF(OR(H4="",I4=""),"",(H4-I4)*100)</f>
        <v/>
      </c>
    </row>
    <row r="5">
      <c r="A5" t="inlineStr">
        <is>
          <t>MU</t>
        </is>
      </c>
      <c r="B5" t="n">
        <v>989.04</v>
      </c>
      <c r="C5" t="n">
        <v>584.92</v>
      </c>
      <c r="D5" t="n">
        <v>0.1322</v>
      </c>
      <c r="E5" s="2" t="n">
        <v>0.03</v>
      </c>
      <c r="F5">
        <f>Scenarios!$F$4</f>
        <v/>
      </c>
      <c r="G5">
        <f>-(F5/10000)/(D5-E5)*100</f>
        <v/>
      </c>
      <c r="H5" t="n">
        <v>0.3056655674860891</v>
      </c>
      <c r="I5" t="n">
        <v>0.1573</v>
      </c>
      <c r="J5">
        <f>IF(OR(H5="",I5=""),"",(H5-I5)*100)</f>
        <v/>
      </c>
    </row>
    <row r="6">
      <c r="A6" t="inlineStr">
        <is>
          <t>GLW</t>
        </is>
      </c>
      <c r="B6" t="n">
        <v>147.28</v>
      </c>
      <c r="C6" t="n">
        <v>66.29000000000001</v>
      </c>
      <c r="D6" t="n">
        <v>0.10835</v>
      </c>
      <c r="E6" s="2" t="n">
        <v>0.03</v>
      </c>
      <c r="F6">
        <f>Scenarios!$F$4</f>
        <v/>
      </c>
      <c r="G6">
        <f>-(F6/10000)/(D6-E6)*100</f>
        <v/>
      </c>
      <c r="H6" t="n">
        <v>0.3966287844708297</v>
      </c>
      <c r="I6" t="n">
        <v>0.19639999</v>
      </c>
      <c r="J6">
        <f>IF(OR(H6="",I6=""),"",(H6-I6)*100)</f>
        <v/>
      </c>
    </row>
    <row r="7">
      <c r="A7" t="inlineStr">
        <is>
          <t>ARM</t>
        </is>
      </c>
      <c r="B7" t="n">
        <v>255.24</v>
      </c>
      <c r="C7" t="n">
        <v>67.44</v>
      </c>
      <c r="D7" t="n">
        <v>0.1322</v>
      </c>
      <c r="E7" s="2" t="n">
        <v>0.03</v>
      </c>
      <c r="F7">
        <f>Scenarios!$F$4</f>
        <v/>
      </c>
      <c r="G7">
        <f>-(F7/10000)/(D7-E7)*100</f>
        <v/>
      </c>
      <c r="H7" t="n">
        <v>0.7806117121571847</v>
      </c>
      <c r="I7" t="n">
        <v>0.3623</v>
      </c>
      <c r="J7">
        <f>IF(OR(H7="",I7=""),"",(H7-I7)*100)</f>
        <v/>
      </c>
    </row>
    <row r="8">
      <c r="A8" t="inlineStr">
        <is>
          <t>AAPL</t>
        </is>
      </c>
      <c r="B8" t="n">
        <v>340.97</v>
      </c>
      <c r="C8" t="n">
        <v>153.94</v>
      </c>
      <c r="D8" t="n">
        <v>0.10565</v>
      </c>
      <c r="E8" s="2" t="n">
        <v>0.03</v>
      </c>
      <c r="F8">
        <f>Scenarios!$F$4</f>
        <v/>
      </c>
      <c r="G8">
        <f>-(F8/10000)/(D8-E8)*100</f>
        <v/>
      </c>
      <c r="H8" t="n">
        <v>0.3142121202518181</v>
      </c>
      <c r="I8" t="n">
        <v>0.10560001</v>
      </c>
      <c r="J8">
        <f>IF(OR(H8="",I8=""),"",(H8-I8)*100)</f>
        <v/>
      </c>
    </row>
    <row r="9">
      <c r="A9" t="inlineStr">
        <is>
          <t>TSM</t>
        </is>
      </c>
      <c r="B9" t="n">
        <v>444.35</v>
      </c>
      <c r="C9" t="n">
        <v>350.14</v>
      </c>
      <c r="D9" t="n">
        <v>0.11415</v>
      </c>
      <c r="E9" s="2" t="n">
        <v>0.03</v>
      </c>
      <c r="F9">
        <f>Scenarios!$F$4</f>
        <v/>
      </c>
      <c r="G9">
        <f>-(F9/10000)/(D9-E9)*100</f>
        <v/>
      </c>
      <c r="H9" t="n">
        <v>0.4290134741119493</v>
      </c>
      <c r="I9" t="n">
        <v>0.35900003</v>
      </c>
      <c r="J9">
        <f>IF(OR(H9="",I9=""),"",(H9-I9)*100)</f>
        <v/>
      </c>
    </row>
    <row r="10">
      <c r="A10" t="inlineStr">
        <is>
          <t>AVGO</t>
        </is>
      </c>
      <c r="B10" t="n">
        <v>354.73</v>
      </c>
      <c r="C10" t="n">
        <v>774.3200000000001</v>
      </c>
      <c r="D10" t="n">
        <v>0.126</v>
      </c>
      <c r="E10" s="2" t="n">
        <v>0.03</v>
      </c>
      <c r="F10">
        <f>Scenarios!$F$4</f>
        <v/>
      </c>
      <c r="G10">
        <f>-(F10/10000)/(D10-E10)*100</f>
        <v/>
      </c>
      <c r="H10" t="n">
        <v>0.4088259419577081</v>
      </c>
      <c r="I10" t="n">
        <v>0.64129996</v>
      </c>
      <c r="J10">
        <f>IF(OR(H10="",I10=""),"",(H10-I10)*100)</f>
        <v/>
      </c>
    </row>
    <row r="11">
      <c r="A11" t="inlineStr">
        <is>
          <t>QCOM</t>
        </is>
      </c>
      <c r="B11" t="n">
        <v>174.43</v>
      </c>
      <c r="C11" t="n">
        <v>103.73</v>
      </c>
      <c r="D11" t="n">
        <v>0.1322</v>
      </c>
      <c r="E11" s="2" t="n">
        <v>0.03</v>
      </c>
      <c r="F11">
        <f>Scenarios!$F$4</f>
        <v/>
      </c>
      <c r="G11">
        <f>-(F11/10000)/(D11-E11)*100</f>
        <v/>
      </c>
      <c r="H11" t="n">
        <v>0.1786584608125837</v>
      </c>
      <c r="I11" t="n">
        <v>0.0475</v>
      </c>
      <c r="J11">
        <f>IF(OR(H11="",I11=""),"",(H11-I11)*100)</f>
        <v/>
      </c>
    </row>
    <row r="12">
      <c r="A12" t="inlineStr">
        <is>
          <t>MRVL</t>
        </is>
      </c>
      <c r="B12" t="n">
        <v>265.86</v>
      </c>
      <c r="C12" t="n">
        <v>256.08</v>
      </c>
      <c r="D12" t="n">
        <v>0.1322</v>
      </c>
      <c r="E12" s="2" t="n">
        <v>0.03</v>
      </c>
      <c r="F12">
        <f>Scenarios!$F$4</f>
        <v/>
      </c>
      <c r="G12">
        <f>-(F12/10000)/(D12-E12)*100</f>
        <v/>
      </c>
      <c r="H12" t="n">
        <v>0.6431549667027232</v>
      </c>
      <c r="I12" t="n">
        <v>0.6315</v>
      </c>
      <c r="J12">
        <f>IF(OR(H12="",I12=""),"",(H12-I12)*100)</f>
        <v/>
      </c>
    </row>
    <row r="13">
      <c r="A13" t="inlineStr">
        <is>
          <t>INTC</t>
        </is>
      </c>
      <c r="B13" t="n">
        <v>101.35</v>
      </c>
      <c r="C13" t="n">
        <v>12.03</v>
      </c>
      <c r="D13" t="n">
        <v>0.1322</v>
      </c>
      <c r="E13" s="2" t="n">
        <v>0.03</v>
      </c>
      <c r="F13">
        <f>Scenarios!$F$4</f>
        <v/>
      </c>
      <c r="G13">
        <f>-(F13/10000)/(D13-E13)*100</f>
        <v/>
      </c>
      <c r="H13" t="n">
        <v>0.6893043095295974</v>
      </c>
      <c r="I13" t="n">
        <v>0.14899999</v>
      </c>
      <c r="J13">
        <f>IF(OR(H13="",I13=""),"",(H13-I13)*100)</f>
        <v/>
      </c>
    </row>
    <row r="14">
      <c r="A14" t="inlineStr">
        <is>
          <t>LITE</t>
        </is>
      </c>
      <c r="B14" t="n">
        <v>995.41</v>
      </c>
      <c r="C14" t="n">
        <v>574.76</v>
      </c>
      <c r="D14" t="n">
        <v>0.129</v>
      </c>
      <c r="E14" s="2" t="n">
        <v>0.03</v>
      </c>
      <c r="F14">
        <f>Scenarios!$F$4</f>
        <v/>
      </c>
      <c r="G14">
        <f>-(F14/10000)/(D14-E14)*100</f>
        <v/>
      </c>
      <c r="H14" t="n">
        <v>0.7383432052143237</v>
      </c>
      <c r="I14" t="n">
        <v>0.56439996</v>
      </c>
      <c r="J14">
        <f>IF(OR(H14="",I14=""),"",(H14-I14)*100)</f>
        <v/>
      </c>
    </row>
    <row r="15">
      <c r="A15" t="inlineStr">
        <is>
          <t>PLTR</t>
        </is>
      </c>
      <c r="B15" t="n">
        <v>209</v>
      </c>
      <c r="C15" t="n">
        <v>67.59</v>
      </c>
      <c r="D15" t="n">
        <v>0.1322</v>
      </c>
      <c r="E15" s="2" t="n">
        <v>0.03</v>
      </c>
      <c r="F15">
        <f>Scenarios!$F$4</f>
        <v/>
      </c>
      <c r="G15">
        <f>-(F15/10000)/(D15-E15)*100</f>
        <v/>
      </c>
      <c r="H15" t="n">
        <v>0.8794600020447305</v>
      </c>
      <c r="I15" t="n">
        <v>0.50119996</v>
      </c>
      <c r="J15">
        <f>IF(OR(H15="",I15=""),"",(H15-I15)*100)</f>
        <v/>
      </c>
    </row>
    <row r="16">
      <c r="A16" t="inlineStr">
        <is>
          <t>CRWD</t>
        </is>
      </c>
      <c r="B16" t="n">
        <v>263.01</v>
      </c>
      <c r="C16" t="n">
        <v>48.99</v>
      </c>
      <c r="D16" t="n">
        <v>0.11205</v>
      </c>
      <c r="E16" s="2" t="n">
        <v>0.03</v>
      </c>
      <c r="F16">
        <f>Scenarios!$F$4</f>
        <v/>
      </c>
      <c r="G16">
        <f>-(F16/10000)/(D16-E16)*100</f>
        <v/>
      </c>
      <c r="H16" t="n">
        <v>0.7372648561558384</v>
      </c>
      <c r="I16" t="n">
        <v>0.22639999</v>
      </c>
      <c r="J16">
        <f>IF(OR(H16="",I16=""),"",(H16-I16)*100)</f>
        <v/>
      </c>
    </row>
    <row r="17">
      <c r="A17" t="inlineStr">
        <is>
          <t>CRWV</t>
        </is>
      </c>
      <c r="B17" t="n">
        <v>80.26000000000001</v>
      </c>
      <c r="C17" t="n">
        <v>496.78</v>
      </c>
      <c r="D17" t="n">
        <v>0.1172</v>
      </c>
      <c r="E17" s="2" t="n">
        <v>0.03</v>
      </c>
      <c r="F17">
        <f>Scenarios!$F$4</f>
        <v/>
      </c>
      <c r="G17">
        <f>-(F17/10000)/(D17-E17)*100</f>
        <v/>
      </c>
      <c r="H17" t="n">
        <v>0.6161275648015418</v>
      </c>
      <c r="I17" t="n">
        <v>1</v>
      </c>
      <c r="J17">
        <f>IF(OR(H17="",I17=""),"",(H17-I17)*100)</f>
        <v/>
      </c>
    </row>
    <row r="18">
      <c r="A18" t="inlineStr">
        <is>
          <t>CIEN</t>
        </is>
      </c>
      <c r="B18" t="n">
        <v>405.01</v>
      </c>
      <c r="C18" t="n">
        <v>210.95</v>
      </c>
      <c r="D18" t="n">
        <v>0.11665</v>
      </c>
      <c r="E18" s="2" t="n">
        <v>0.03</v>
      </c>
      <c r="F18">
        <f>Scenarios!$F$4</f>
        <v/>
      </c>
      <c r="G18">
        <f>-(F18/10000)/(D18-E18)*100</f>
        <v/>
      </c>
      <c r="H18" t="n">
        <v>0.4905510310931138</v>
      </c>
      <c r="I18" t="n">
        <v>0.3077</v>
      </c>
      <c r="J18">
        <f>IF(OR(H18="",I18=""),"",(H18-I18)*100)</f>
        <v/>
      </c>
    </row>
    <row r="19">
      <c r="A19" t="inlineStr">
        <is>
          <t>COHR</t>
        </is>
      </c>
      <c r="B19" t="n">
        <v>288.02</v>
      </c>
      <c r="C19" t="n">
        <v>163.25</v>
      </c>
      <c r="D19" t="n">
        <v>0.1322</v>
      </c>
      <c r="E19" s="2" t="n">
        <v>0.03</v>
      </c>
      <c r="F19">
        <f>Scenarios!$F$4</f>
        <v/>
      </c>
      <c r="G19">
        <f>-(F19/10000)/(D19-E19)*100</f>
        <v/>
      </c>
      <c r="H19" t="n">
        <v>0.5381286897771012</v>
      </c>
      <c r="I19" t="n">
        <v>0.3884</v>
      </c>
      <c r="J19">
        <f>IF(OR(H19="",I19=""),"",(H19-I19)*100)</f>
        <v/>
      </c>
    </row>
    <row r="20">
      <c r="A20" t="inlineStr">
        <is>
          <t>KLAC</t>
        </is>
      </c>
      <c r="B20" t="n">
        <v>190.12</v>
      </c>
      <c r="C20" t="n">
        <v>60.98</v>
      </c>
      <c r="D20" t="n">
        <v>0.12455</v>
      </c>
      <c r="E20" s="2" t="n">
        <v>0.03</v>
      </c>
      <c r="F20">
        <f>Scenarios!$F$4</f>
        <v/>
      </c>
      <c r="G20">
        <f>-(F20/10000)/(D20-E20)*100</f>
        <v/>
      </c>
      <c r="H20" t="n">
        <v>0.5076170981005421</v>
      </c>
      <c r="I20" t="n">
        <v>0.1892</v>
      </c>
      <c r="J20">
        <f>IF(OR(H20="",I20=""),"",(H20-I20)*100)</f>
        <v/>
      </c>
    </row>
    <row r="21">
      <c r="A21" t="inlineStr">
        <is>
          <t>AMAT</t>
        </is>
      </c>
      <c r="B21" t="n">
        <v>497.53</v>
      </c>
      <c r="C21" t="n">
        <v>315.95</v>
      </c>
      <c r="D21" t="n">
        <v>0.13175</v>
      </c>
      <c r="E21" s="2" t="n">
        <v>0.03</v>
      </c>
      <c r="F21">
        <f>Scenarios!$F$4</f>
        <v/>
      </c>
      <c r="G21">
        <f>-(F21/10000)/(D21-E21)*100</f>
        <v/>
      </c>
      <c r="H21" t="n">
        <v>0.4841989663344586</v>
      </c>
      <c r="I21" t="n">
        <v>0.3518</v>
      </c>
      <c r="J21">
        <f>IF(OR(H21="",I21=""),"",(H21-I21)*100)</f>
        <v/>
      </c>
    </row>
    <row r="22">
      <c r="A22" t="inlineStr">
        <is>
          <t>AMD</t>
        </is>
      </c>
      <c r="B22" t="n">
        <v>594.24</v>
      </c>
      <c r="C22" t="n">
        <v>750.6799999999999</v>
      </c>
      <c r="D22" t="n">
        <v>0.1322</v>
      </c>
      <c r="E22" s="2" t="n">
        <v>0.03</v>
      </c>
      <c r="F22">
        <f>Scenarios!$F$4</f>
        <v/>
      </c>
      <c r="G22">
        <f>-(F22/10000)/(D22-E22)*100</f>
        <v/>
      </c>
      <c r="H22" t="n">
        <v>0.6697060330407831</v>
      </c>
      <c r="I22" t="n">
        <v>0.7457</v>
      </c>
      <c r="J22">
        <f>IF(OR(H22="",I22=""),"",(H22-I22)*100)</f>
        <v/>
      </c>
    </row>
    <row r="23">
      <c r="A23" t="inlineStr">
        <is>
          <t>EME</t>
        </is>
      </c>
      <c r="B23" t="n">
        <v>779.16</v>
      </c>
      <c r="C23" t="n">
        <v>449.79</v>
      </c>
      <c r="D23" t="n">
        <v>0.10815</v>
      </c>
      <c r="E23" s="2" t="n">
        <v>0.03</v>
      </c>
      <c r="F23">
        <f>Scenarios!$F$4</f>
        <v/>
      </c>
      <c r="G23">
        <f>-(F23/10000)/(D23-E23)*100</f>
        <v/>
      </c>
      <c r="H23" t="n">
        <v>0.2439740347764647</v>
      </c>
      <c r="I23" t="n">
        <v>0.0987</v>
      </c>
      <c r="J23">
        <f>IF(OR(H23="",I23=""),"",(H23-I23)*100)</f>
        <v/>
      </c>
    </row>
    <row r="24">
      <c r="A24" t="inlineStr">
        <is>
          <t>PWR</t>
        </is>
      </c>
      <c r="B24" t="n">
        <v>694.79</v>
      </c>
      <c r="C24" t="n">
        <v>222.43</v>
      </c>
      <c r="D24" t="n">
        <v>0.11555</v>
      </c>
      <c r="E24" s="2" t="n">
        <v>0.03</v>
      </c>
      <c r="F24">
        <f>Scenarios!$F$4</f>
        <v/>
      </c>
      <c r="G24">
        <f>-(F24/10000)/(D24-E24)*100</f>
        <v/>
      </c>
      <c r="H24" t="n">
        <v>0.4402829474650308</v>
      </c>
      <c r="I24" t="n">
        <v>0.1546</v>
      </c>
      <c r="J24">
        <f>IF(OR(H24="",I24=""),"",(H24-I24)*100)</f>
        <v/>
      </c>
    </row>
    <row r="25">
      <c r="A25" t="inlineStr">
        <is>
          <t>CCL</t>
        </is>
      </c>
      <c r="B25" t="n">
        <v>26.48</v>
      </c>
      <c r="C25" t="n">
        <v>3.52</v>
      </c>
      <c r="D25" t="n">
        <v>0.1322</v>
      </c>
      <c r="E25" s="2" t="n">
        <v>0.03</v>
      </c>
      <c r="F25">
        <f>Scenarios!$F$4</f>
        <v/>
      </c>
      <c r="G25">
        <f>-(F25/10000)/(D25-E25)*100</f>
        <v/>
      </c>
      <c r="H25" t="n">
        <v>0.2288566112276504</v>
      </c>
      <c r="I25" t="n">
        <v>0.0312</v>
      </c>
      <c r="J25">
        <f>IF(OR(H25="",I25=""),"",(H25-I25)*100)</f>
        <v/>
      </c>
    </row>
    <row r="26">
      <c r="A26" t="inlineStr">
        <is>
          <t>SIMO</t>
        </is>
      </c>
      <c r="B26" t="n">
        <v>246.95</v>
      </c>
      <c r="C26" t="n">
        <v>161.8</v>
      </c>
      <c r="D26" t="n">
        <v>0.1322</v>
      </c>
      <c r="E26" s="2" t="n">
        <v>0.03</v>
      </c>
      <c r="F26">
        <f>Scenarios!$F$4</f>
        <v/>
      </c>
      <c r="G26">
        <f>-(F26/10000)/(D26-E26)*100</f>
        <v/>
      </c>
      <c r="H26" t="n">
        <v>0.4082975432944108</v>
      </c>
      <c r="I26" t="n">
        <v>0.29639998</v>
      </c>
      <c r="J26">
        <f>IF(OR(H26="",I26=""),"",(H26-I26)*100)</f>
        <v/>
      </c>
    </row>
    <row r="27">
      <c r="A27" t="inlineStr">
        <is>
          <t>RKLB</t>
        </is>
      </c>
      <c r="B27" t="n">
        <v>65.70999999999999</v>
      </c>
      <c r="C27" t="n">
        <v>8.43</v>
      </c>
      <c r="D27" t="n">
        <v>0.1322</v>
      </c>
      <c r="E27" s="2" t="n">
        <v>0.03</v>
      </c>
      <c r="F27">
        <f>Scenarios!$F$4</f>
        <v/>
      </c>
      <c r="G27">
        <f>-(F27/10000)/(D27-E27)*100</f>
        <v/>
      </c>
      <c r="H27" t="n">
        <v>1.151657545817254</v>
      </c>
      <c r="I27" t="n">
        <v>0.4134</v>
      </c>
      <c r="J27">
        <f>IF(OR(H27="",I27=""),"",(H27-I27)*100)</f>
        <v/>
      </c>
    </row>
    <row r="28">
      <c r="A28" t="inlineStr">
        <is>
          <t>MXL</t>
        </is>
      </c>
      <c r="B28" t="n">
        <v>88.98999999999999</v>
      </c>
      <c r="C28" t="n">
        <v>22.35</v>
      </c>
      <c r="D28" t="n">
        <v>0.1322</v>
      </c>
      <c r="E28" s="2" t="n">
        <v>0.03</v>
      </c>
      <c r="F28">
        <f>Scenarios!$F$4</f>
        <v/>
      </c>
      <c r="G28">
        <f>-(F28/10000)/(D28-E28)*100</f>
        <v/>
      </c>
      <c r="H28" t="n">
        <v>0.689653920697163</v>
      </c>
      <c r="I28" t="n">
        <v>0.2988</v>
      </c>
      <c r="J28">
        <f>IF(OR(H28="",I28=""),"",(H28-I28)*100)</f>
        <v/>
      </c>
    </row>
    <row r="29">
      <c r="A29" t="inlineStr">
        <is>
          <t>Approximation (HYPOTHESIS): perpetuity duration 1/(WACC−g). Long-run fair-value effect of a lasting discount-rate change — NOT a one-day price forecast. Source: OS company models v20261013-1622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0" customWidth="1" min="3" max="3"/>
    <col width="10" customWidth="1" min="4" max="4"/>
    <col width="26" customWidth="1" min="5" max="5"/>
    <col width="12" customWidth="1" min="6" max="6"/>
    <col width="46" customWidth="1" min="7" max="7"/>
  </cols>
  <sheetData>
    <row r="1">
      <c r="A1" s="1" t="inlineStr">
        <is>
          <t>No.</t>
        </is>
      </c>
      <c r="B1" s="1" t="inlineStr">
        <is>
          <t>Item 观察项</t>
        </is>
      </c>
      <c r="C1" s="1" t="inlineStr">
        <is>
          <t>Cool if</t>
        </is>
      </c>
      <c r="D1" s="1" t="inlineStr">
        <is>
          <t>Hot if</t>
        </is>
      </c>
      <c r="E1" s="1" t="inlineStr">
        <is>
          <t>Actual 实际 (fill at 20:30 SGT)</t>
        </is>
      </c>
      <c r="F1" s="1" t="inlineStr">
        <is>
          <t>Read 判读</t>
        </is>
      </c>
      <c r="G1" s="1" t="inlineStr">
        <is>
          <t>Teaching 教学</t>
        </is>
      </c>
    </row>
    <row r="2">
      <c r="A2" t="n">
        <v>1</v>
      </c>
      <c r="B2" t="inlineStr">
        <is>
          <t>Core MoM % (2 decimals)</t>
        </is>
      </c>
      <c r="C2" t="n">
        <v>0.15</v>
      </c>
      <c r="D2" t="n">
        <v>0.25</v>
      </c>
      <c r="E2" s="2" t="inlineStr"/>
      <c r="F2">
        <f>IF(E2="","",IF(E2&lt;=C2,"COOL",IF(E2&gt;=D2,"HOT","INLINE")))</f>
        <v/>
      </c>
      <c r="G2" t="inlineStr">
        <is>
          <t>Fed watches core: food &amp; energy are volatile 核心剔除食品能源</t>
        </is>
      </c>
    </row>
    <row r="3">
      <c r="A3" t="n">
        <v>2</v>
      </c>
      <c r="B3" t="inlineStr">
        <is>
          <t>Core YoY %</t>
        </is>
      </c>
      <c r="C3" t="n">
        <v>2.35</v>
      </c>
      <c r="D3" t="n">
        <v>2.55</v>
      </c>
      <c r="E3" s="2" t="inlineStr"/>
      <c r="F3">
        <f>IF(E3="","",IF(E3&lt;=C3,"COOL",IF(E3&gt;=D3,"HOT","INLINE")))</f>
        <v/>
      </c>
      <c r="G3" t="inlineStr">
        <is>
          <t>2.4 vs 2.5 is the headline-writer's split</t>
        </is>
      </c>
    </row>
    <row r="4">
      <c r="A4" t="n">
        <v>3</v>
      </c>
      <c r="B4" t="inlineStr">
        <is>
          <t>Supercore MoM % (core services ex-shelter)</t>
        </is>
      </c>
      <c r="C4" t="n">
        <v>0.2</v>
      </c>
      <c r="D4" t="n">
        <v>0.35</v>
      </c>
      <c r="E4" s="2" t="inlineStr"/>
      <c r="F4">
        <f>IF(E4="","",IF(E4&lt;=C4,"COOL",IF(E4&gt;=D4,"HOT","INLINE")))</f>
        <v/>
      </c>
      <c r="G4" t="inlineStr">
        <is>
          <t>wage-driven services = sticky 粘性</t>
        </is>
      </c>
    </row>
    <row r="5">
      <c r="A5" t="n">
        <v>4</v>
      </c>
      <c r="B5" t="inlineStr">
        <is>
          <t>Shelter MoM %</t>
        </is>
      </c>
      <c r="C5" t="n">
        <v>0.25</v>
      </c>
      <c r="D5" t="n">
        <v>0.35</v>
      </c>
      <c r="E5" s="2" t="inlineStr"/>
      <c r="F5">
        <f>IF(E5="","",IF(E5&lt;=C5,"COOL",IF(E5&gt;=D5,"HOT","INLINE")))</f>
        <v/>
      </c>
      <c r="G5" t="inlineStr">
        <is>
          <t>~1/3 of CPI; moves slowly</t>
        </is>
      </c>
    </row>
    <row r="6">
      <c r="A6" t="n">
        <v>5</v>
      </c>
      <c r="B6" t="inlineStr">
        <is>
          <t>Core goods MoM %</t>
        </is>
      </c>
      <c r="C6" t="n">
        <v>0</v>
      </c>
      <c r="D6" t="n">
        <v>0.2</v>
      </c>
      <c r="E6" s="2" t="inlineStr"/>
      <c r="F6">
        <f>IF(E6="","",IF(E6&lt;=C6,"COOL",IF(E6&gt;=D6,"HOT","INLINE")))</f>
        <v/>
      </c>
      <c r="G6" t="inlineStr">
        <is>
          <t>tariff / supply pass-through</t>
        </is>
      </c>
    </row>
    <row r="7">
      <c r="A7" t="n">
        <v>6</v>
      </c>
      <c r="B7" t="inlineStr">
        <is>
          <t>Headline MoM %</t>
        </is>
      </c>
      <c r="C7" t="n">
        <v>0.45</v>
      </c>
      <c r="D7" t="n">
        <v>0.7</v>
      </c>
      <c r="E7" s="2" t="inlineStr"/>
      <c r="F7">
        <f>IF(E7="","",IF(E7&lt;=C7,"COOL",IF(E7&gt;=D7,"HOT","INLINE")))</f>
        <v/>
      </c>
      <c r="G7" t="inlineStr">
        <is>
          <t>energy-driven; bonds may look through</t>
        </is>
      </c>
    </row>
    <row r="8">
      <c r="A8" t="n">
        <v>7</v>
      </c>
      <c r="B8" t="inlineStr">
        <is>
          <t>Δ2Y first 15 min (bp)</t>
        </is>
      </c>
      <c r="C8" t="n">
        <v>-8</v>
      </c>
      <c r="D8" t="n">
        <v>8</v>
      </c>
      <c r="E8" s="2" t="inlineStr"/>
      <c r="F8">
        <f>IF(E8="","",IF(E8&lt;=C8,"COOL",IF(E8&gt;=D8,"HOT","INLINE")))</f>
        <v/>
      </c>
      <c r="G8" t="inlineStr">
        <is>
          <t>|Δ|&lt;3bp ⇒ already priced</t>
        </is>
      </c>
    </row>
    <row r="9">
      <c r="A9" t="n">
        <v>8</v>
      </c>
      <c r="B9" t="inlineStr">
        <is>
          <t>Δ10Y first 2h (bp)</t>
        </is>
      </c>
      <c r="C9" t="n">
        <v>-6</v>
      </c>
      <c r="D9" t="n">
        <v>6</v>
      </c>
      <c r="E9" s="2" t="inlineStr"/>
      <c r="F9">
        <f>IF(E9="","",IF(E9&lt;=C9,"COOL",IF(E9&gt;=D9,"HOT","INLINE")))</f>
        <v/>
      </c>
      <c r="G9" t="inlineStr">
        <is>
          <t>hot core + 10Y down ⇒ growth fear (falsifier)</t>
        </is>
      </c>
    </row>
    <row r="10">
      <c r="A10" t="n">
        <v>9</v>
      </c>
      <c r="B10" t="inlineStr">
        <is>
          <t>USD/JPY level</t>
        </is>
      </c>
      <c r="C10" t="n">
        <v>157</v>
      </c>
      <c r="D10" t="n">
        <v>159.5</v>
      </c>
      <c r="E10" s="2" t="inlineStr"/>
      <c r="F10">
        <f>IF(E10="","",IF(E10&lt;=C10,"COOL",IF(E10&gt;=D10,"HOT","INLINE")))</f>
        <v/>
      </c>
      <c r="G10" t="inlineStr">
        <is>
          <t>near 2024 intervention zone (~160)</t>
        </is>
      </c>
    </row>
    <row r="11">
      <c r="A11" t="n">
        <v>10</v>
      </c>
      <c r="B11" t="inlineStr">
        <is>
          <t>Oct hike odds % (CME/Kalshi)</t>
        </is>
      </c>
      <c r="C11" t="n">
        <v>12</v>
      </c>
      <c r="D11" t="n">
        <v>30</v>
      </c>
      <c r="E11" s="2" t="inlineStr"/>
      <c r="F11">
        <f>IF(E11="","",IF(E11&lt;=C11,"COOL",IF(E11&gt;=D11,"HOT","INLINE")))</f>
        <v/>
      </c>
      <c r="G11" t="inlineStr">
        <is>
          <t>≥30% ⇒ Oct 28 meeting 'live'</t>
        </is>
      </c>
    </row>
    <row r="12">
      <c r="A12" t="n">
        <v>11</v>
      </c>
      <c r="B12" t="inlineStr">
        <is>
          <t>Surprise core = Actual − 0.20</t>
        </is>
      </c>
      <c r="C12" t="inlineStr"/>
      <c r="D12" t="inlineStr"/>
      <c r="E12" s="2" t="inlineStr"/>
      <c r="F12">
        <f>IF(E2="","",E2-0.2)</f>
        <v/>
      </c>
      <c r="G12" t="inlineStr">
        <is>
          <t>Surprise = Actual − Expected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60" customWidth="1" min="3" max="3"/>
    <col width="24" customWidth="1" min="4" max="4"/>
    <col width="30" customWidth="1" min="5" max="5"/>
  </cols>
  <sheetData>
    <row r="1">
      <c r="A1" s="1" t="inlineStr">
        <is>
          <t>No.</t>
        </is>
      </c>
      <c r="B1" s="1" t="inlineStr">
        <is>
          <t>Source 来源</t>
        </is>
      </c>
      <c r="C1" s="1" t="inlineStr">
        <is>
          <t>What 内容</t>
        </is>
      </c>
      <c r="D1" s="1" t="inlineStr">
        <is>
          <t>Published/Fetched</t>
        </is>
      </c>
      <c r="E1" s="1" t="inlineStr">
        <is>
          <t>Claim class</t>
        </is>
      </c>
    </row>
    <row r="2">
      <c r="A2" t="n">
        <v>1</v>
      </c>
      <c r="B2" t="inlineStr">
        <is>
          <t>BLS release schedule 2026 (bls.gov/schedule/2026) via OS calendar</t>
        </is>
      </c>
      <c r="C2" t="inlineStr">
        <is>
          <t>CPI Sep 2026 on 10/14 08:30 ET</t>
        </is>
      </c>
      <c r="D2" t="inlineStr">
        <is>
          <t>OS calendar 2026-10-13</t>
        </is>
      </c>
      <c r="E2" t="inlineStr">
        <is>
          <t>FACT (CONFIRMED)</t>
        </is>
      </c>
    </row>
    <row r="3">
      <c r="A3" t="n">
        <v>2</v>
      </c>
      <c r="B3" t="inlineStr">
        <is>
          <t>FRED CPIAUCSL, CPILFESL, PCEPILFE, UNRATE, PAYEMS, DFEDTARU, DGS2, DGS10, DFII10, T10YIE</t>
        </is>
      </c>
      <c r="C3" t="inlineStr">
        <is>
          <t>Index levels, Fed upper bound 4.00%, 2Y 4.75%, 10Y 5.22% (10/8)</t>
        </is>
      </c>
      <c r="D3" t="inlineStr">
        <is>
          <t>fetched 2026-10-13 16:22 SGT</t>
        </is>
      </c>
      <c r="E3" t="inlineStr">
        <is>
          <t>DATA</t>
        </is>
      </c>
    </row>
    <row r="4">
      <c r="A4" t="n">
        <v>3</v>
      </c>
      <c r="B4" t="inlineStr">
        <is>
          <t>Yahoo Finance (^TNX, JPY=X, ^SOX, ^NDX, ^KS11, CL=F, ^VIX, 27 watchlist closes)</t>
        </is>
      </c>
      <c r="C4" t="inlineStr">
        <is>
          <t>Market levels &amp; 1Y daily history</t>
        </is>
      </c>
      <c r="D4" t="inlineStr">
        <is>
          <t>fetched 2026-10-13 16:22 SGT</t>
        </is>
      </c>
      <c r="E4" t="inlineStr">
        <is>
          <t>DATA</t>
        </is>
      </c>
    </row>
    <row r="5">
      <c r="A5" t="n">
        <v>4</v>
      </c>
      <c r="B5" t="inlineStr">
        <is>
          <t>FinancialJuice 'US CPI Prep (14th October)'</t>
        </is>
      </c>
      <c r="C5" t="inlineStr">
        <is>
          <t>Consensus &amp; ranges; DB 0.16 / WF 0.20 / CA 0.20 core forecasts</t>
        </is>
      </c>
      <c r="D5" t="inlineStr">
        <is>
          <t>2026-10-12</t>
        </is>
      </c>
      <c r="E5" t="inlineStr">
        <is>
          <t>MARKET EXPECTATION</t>
        </is>
      </c>
    </row>
    <row r="6">
      <c r="A6" t="n">
        <v>5</v>
      </c>
      <c r="B6" t="inlineStr">
        <is>
          <t>TD Economics weekly (via stockmarkethours.org / tlines.tech)</t>
        </is>
      </c>
      <c r="C6" t="inlineStr">
        <is>
          <t>Consensus 0.6/3.6/0.2/2.5</t>
        </is>
      </c>
      <c r="D6" t="inlineStr">
        <is>
          <t>2026-10-09</t>
        </is>
      </c>
      <c r="E6" t="inlineStr">
        <is>
          <t>MARKET EXPECTATION</t>
        </is>
      </c>
    </row>
    <row r="7">
      <c r="A7" t="n">
        <v>6</v>
      </c>
      <c r="B7" t="inlineStr">
        <is>
          <t>Morningstar (FactSet consensus)</t>
        </is>
      </c>
      <c r="C7" t="inlineStr">
        <is>
          <t>0.5/3.6/0.2/2.4</t>
        </is>
      </c>
      <c r="D7" t="inlineStr">
        <is>
          <t>~2026-10-12</t>
        </is>
      </c>
      <c r="E7" t="inlineStr">
        <is>
          <t>MARKET EXPECTATION (date text conflict logged)</t>
        </is>
      </c>
    </row>
    <row r="8">
      <c r="A8" t="n">
        <v>7</v>
      </c>
      <c r="B8" t="inlineStr">
        <is>
          <t>predictionauthority.com (Kalshi)</t>
        </is>
      </c>
      <c r="C8" t="inlineStr">
        <is>
          <t>Oct hike ≈20%, Dec ≈73%; 10Y 5.28–5.31% near 24-yr high</t>
        </is>
      </c>
      <c r="D8" t="inlineStr">
        <is>
          <t>2026-10-09, odds 10/13</t>
        </is>
      </c>
      <c r="E8" t="inlineStr">
        <is>
          <t>MARKET EXPECTATION (secondary)</t>
        </is>
      </c>
    </row>
    <row r="9">
      <c r="A9" t="n">
        <v>8</v>
      </c>
      <c r="B9" t="inlineStr">
        <is>
          <t>Kiplinger / onetrader / vanderbiltreport weekly calendars</t>
        </is>
      </c>
      <c r="C9" t="inlineStr">
        <is>
          <t>Bowman 05:40 ET, Barkin 13:30 ET, Beige Book 14:00 ET (10/14); Warsh 23:30 ET 10/15</t>
        </is>
      </c>
      <c r="D9" t="inlineStr">
        <is>
          <t>2026-10-09 to 10-11</t>
        </is>
      </c>
      <c r="E9" t="inlineStr">
        <is>
          <t>FACT (secondary, TENTATIVE times)</t>
        </is>
      </c>
    </row>
    <row r="10">
      <c r="A10" t="n">
        <v>9</v>
      </c>
      <c r="B10" t="inlineStr">
        <is>
          <t>AP / Herald / Chosun / Seoul Economic Daily</t>
        </is>
      </c>
      <c r="C10" t="inlineStr">
        <is>
          <t>KOSPI −5.46% to 6,035 on 10/13; CXMT DRAM fears; foreign net selling</t>
        </is>
      </c>
      <c r="D10" t="inlineStr">
        <is>
          <t>2026-10-13</t>
        </is>
      </c>
      <c r="E10" t="inlineStr">
        <is>
          <t>FACT (news)</t>
        </is>
      </c>
    </row>
    <row r="11">
      <c r="A11" t="n">
        <v>10</v>
      </c>
      <c r="B11" t="inlineStr">
        <is>
          <t>TSMC IR</t>
        </is>
      </c>
      <c r="C11" t="inlineStr">
        <is>
          <t>3Q26 conference Thu 10/15 14:00 Taiwan (=14:00 SGT)</t>
        </is>
      </c>
      <c r="D11" t="inlineStr">
        <is>
          <t>IR page</t>
        </is>
      </c>
      <c r="E11" t="inlineStr">
        <is>
          <t>FACT (CONFIRMED)</t>
        </is>
      </c>
    </row>
    <row r="12">
      <c r="A12" t="n">
        <v>11</v>
      </c>
      <c r="B12" t="inlineStr">
        <is>
          <t>gobull.ai / thesiliconledger / hulicalendar</t>
        </is>
      </c>
      <c r="C12" t="inlineStr">
        <is>
          <t>ASML Q3 results 10/14 07:00 Amsterdam</t>
        </is>
      </c>
      <c r="D12" t="inlineStr">
        <is>
          <t>2026-10-09 to 10-12</t>
        </is>
      </c>
      <c r="E12" t="inlineStr">
        <is>
          <t>FACT (secondary)</t>
        </is>
      </c>
    </row>
    <row r="13">
      <c r="A13" t="n">
        <v>12</v>
      </c>
      <c r="B13" t="inlineStr">
        <is>
          <t>OS company models v20261013</t>
        </is>
      </c>
      <c r="C13" t="inlineStr">
        <is>
          <t>WACC, Base DCF, price-implied growth</t>
        </is>
      </c>
      <c r="D13" t="inlineStr">
        <is>
          <t>v20261013-1622</t>
        </is>
      </c>
      <c r="E13" t="inlineStr">
        <is>
          <t>HYPOTHESIS (model)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14" customWidth="1" min="3" max="3"/>
    <col width="60" customWidth="1" min="4" max="4"/>
    <col width="34" customWidth="1" min="5" max="5"/>
  </cols>
  <sheetData>
    <row r="1">
      <c r="A1" s="1" t="inlineStr">
        <is>
          <t>ID</t>
        </is>
      </c>
      <c r="B1" s="1" t="inlineStr">
        <is>
          <t>Assumption 假设</t>
        </is>
      </c>
      <c r="C1" s="1" t="inlineStr">
        <is>
          <t>Value</t>
        </is>
      </c>
      <c r="D1" s="1" t="inlineStr">
        <is>
          <t>Why 依据</t>
        </is>
      </c>
      <c r="E1" s="1" t="inlineStr">
        <is>
          <t>Falsifier 证伪</t>
        </is>
      </c>
    </row>
    <row r="2">
      <c r="A2" t="inlineStr">
        <is>
          <t>A1</t>
        </is>
      </c>
      <c r="B2" t="inlineStr">
        <is>
          <t>OS core MoM hypothesis</t>
        </is>
      </c>
      <c r="C2" t="inlineStr">
        <is>
          <t>0.22%</t>
        </is>
      </c>
      <c r="D2" t="inlineStr">
        <is>
          <t>consensus 0.2; DB 0.16 vs shelter/medical rebound + airfares from jet fuel</t>
        </is>
      </c>
      <c r="E2" t="inlineStr">
        <is>
          <t>core ≤0.15 or ≥0.25</t>
        </is>
      </c>
    </row>
    <row r="3">
      <c r="A3" t="inlineStr">
        <is>
          <t>A2</t>
        </is>
      </c>
      <c r="B3" t="inlineStr">
        <is>
          <t>Scenario probabilities</t>
        </is>
      </c>
      <c r="C3" t="inlineStr">
        <is>
          <t>25/50/25</t>
        </is>
      </c>
      <c r="D3" t="inlineStr">
        <is>
          <t>bank forecast dispersion 0.16–0.20, range 0.2–0.3</t>
        </is>
      </c>
      <c r="E3" t="inlineStr">
        <is>
          <t>post-mortem calibration after 3+ prints</t>
        </is>
      </c>
    </row>
    <row r="4">
      <c r="A4" t="inlineStr">
        <is>
          <t>A3</t>
        </is>
      </c>
      <c r="B4" t="inlineStr">
        <is>
          <t>Reaction ranges (2Y/10Y/NDX/SOX/JPY)</t>
        </is>
      </c>
      <c r="C4" t="inlineStr">
        <is>
          <t>see Scenarios</t>
        </is>
      </c>
      <c r="D4" t="inlineStr">
        <is>
          <t>judgement; not back-tested in OS</t>
        </is>
      </c>
      <c r="E4" t="inlineStr">
        <is>
          <t>actual moves outside range ⇒ widen</t>
        </is>
      </c>
    </row>
    <row r="5">
      <c r="A5" t="inlineStr">
        <is>
          <t>A4</t>
        </is>
      </c>
      <c r="B5" t="inlineStr">
        <is>
          <t>Yield beta stable over next 2 days</t>
        </is>
      </c>
      <c r="C5" t="inlineStr">
        <is>
          <t>Reaction sheet</t>
        </is>
      </c>
      <c r="D5" t="inlineStr">
        <is>
          <t>1Y OLS; R² ≤0.12</t>
        </is>
      </c>
      <c r="E5" t="inlineStr">
        <is>
          <t>beta sign flips on the day</t>
        </is>
      </c>
    </row>
    <row r="6">
      <c r="A6" t="inlineStr">
        <is>
          <t>A5</t>
        </is>
      </c>
      <c r="B6" t="inlineStr">
        <is>
          <t>g∞ terminal growth</t>
        </is>
      </c>
      <c r="C6" t="inlineStr">
        <is>
          <t>3%</t>
        </is>
      </c>
      <c r="D6" t="inlineStr">
        <is>
          <t>OS model convention</t>
        </is>
      </c>
      <c r="E6" t="inlineStr">
        <is>
          <t>—</t>
        </is>
      </c>
    </row>
    <row r="7">
      <c r="A7" t="inlineStr">
        <is>
          <t>A6</t>
        </is>
      </c>
      <c r="B7" t="inlineStr">
        <is>
          <t>ΔWACC = Δ10Y one-for-one</t>
        </is>
      </c>
      <c r="C7" t="inlineStr">
        <is>
          <t>Hot +8bp</t>
        </is>
      </c>
      <c r="D7" t="inlineStr">
        <is>
          <t>risk-free component only</t>
        </is>
      </c>
      <c r="E7" t="inlineStr">
        <is>
          <t>ERP moves offset</t>
        </is>
      </c>
    </row>
    <row r="8">
      <c r="A8" t="inlineStr">
        <is>
          <t>A7</t>
        </is>
      </c>
      <c r="B8" t="inlineStr">
        <is>
          <t>US DST in force (SGT = ET + 12h)</t>
        </is>
      </c>
      <c r="C8" t="inlineStr">
        <is>
          <t>until 2026-11-01</t>
        </is>
      </c>
      <c r="D8" t="inlineStr">
        <is>
          <t>US DST ends 1st Sunday Nov</t>
        </is>
      </c>
      <c r="E8" t="inlineStr">
        <is>
          <t>—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120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Builder</t>
        </is>
      </c>
      <c r="B2" t="inlineStr">
        <is>
          <t>build_xlsx.py / build_charts.py / build_docs.py (box /workspace/cpi_prep), run v20261013-1803</t>
        </is>
      </c>
    </row>
    <row r="3">
      <c r="A3" t="inlineStr">
        <is>
          <t>Inputs</t>
        </is>
      </c>
      <c r="B3" t="inlineStr">
        <is>
          <t>FRED+Yahoo snapshot data/latest (20261013-1622); web sources per SourceLedger</t>
        </is>
      </c>
    </row>
    <row r="4">
      <c r="A4" t="inlineStr">
        <is>
          <t>Known issue</t>
        </is>
      </c>
      <c r="B4" t="inlineStr">
        <is>
          <t>OS dashboard CPI YoY uses 12-row lag; Oct-2025 index missing (shutdown) ⇒ dashboard shows CPI 3.71% / core 2.76% vs correct 3.35% / 2.45% (Aug). This book uses calendar-matched YoY. Pipeline fix pending.</t>
        </is>
      </c>
    </row>
    <row r="5">
      <c r="A5" t="inlineStr">
        <is>
          <t>Lock</t>
        </is>
      </c>
      <c r="B5" t="inlineStr">
        <is>
          <t>PRE_EVENT_SNAPSHOT json sha256 recorded; file set read-only after build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Version</t>
        </is>
      </c>
      <c r="B1" s="1" t="inlineStr">
        <is>
          <t>Change</t>
        </is>
      </c>
    </row>
    <row r="2">
      <c r="A2" t="inlineStr">
        <is>
          <t>v20261013-1803</t>
        </is>
      </c>
      <c r="B2" t="inlineStr">
        <is>
          <t>Initial pre-event snapshot for US CPI (Sep 2026). Post-event review → next Daily OS update.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2026-10-13T10:08:58Z</dcterms:created>
  <dcterms:modified xmlns:dcterms="http://purl.org/dc/terms/" xmlns:xsi="http://www.w3.org/2001/XMLSchema-instance" xsi:type="dcterms:W3CDTF">2026-10-13T10:08:58Z</dcterms:modified>
</cp:coreProperties>
</file>