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Asset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Calibration" sheetId="3" state="visible" r:id="rId3"/>
    <sheet xmlns:r="http://schemas.openxmlformats.org/officeDocument/2006/relationships" name="Themes1W" sheetId="4" state="visible" r:id="rId4"/>
    <sheet xmlns:r="http://schemas.openxmlformats.org/officeDocument/2006/relationships" name="SourceLedger" sheetId="5" state="visible" r:id="rId5"/>
    <sheet xmlns:r="http://schemas.openxmlformats.org/officeDocument/2006/relationships" name="Assumption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Prev Fri close</t>
        </is>
      </c>
      <c r="D1" s="1" t="inlineStr">
        <is>
          <t>This Fri close</t>
        </is>
      </c>
      <c r="E1" s="1" t="inlineStr">
        <is>
          <t>Week change</t>
        </is>
      </c>
      <c r="F1" s="1" t="inlineStr">
        <is>
          <t>Unit</t>
        </is>
      </c>
    </row>
    <row r="2">
      <c r="A2" t="inlineStr">
        <is>
          <t>^GSPC</t>
        </is>
      </c>
      <c r="B2" t="inlineStr">
        <is>
          <t>S&amp;P 500 标普500</t>
        </is>
      </c>
      <c r="C2" t="n">
        <v>7811.5400390625</v>
      </c>
      <c r="D2" t="n">
        <v>7659.43994140625</v>
      </c>
      <c r="E2">
        <f>IF(C2="","",(D2/C2-1)*100)</f>
        <v/>
      </c>
      <c r="F2" t="inlineStr">
        <is>
          <t>%</t>
        </is>
      </c>
    </row>
    <row r="3">
      <c r="A3" t="inlineStr">
        <is>
          <t>^IXIC</t>
        </is>
      </c>
      <c r="B3" t="inlineStr">
        <is>
          <t>Nasdaq 纳指综合</t>
        </is>
      </c>
      <c r="C3" t="n">
        <v>27366.169921875</v>
      </c>
      <c r="D3" t="n">
        <v>26140.033203125</v>
      </c>
      <c r="E3">
        <f>IF(C3="","",(D3/C3-1)*100)</f>
        <v/>
      </c>
      <c r="F3" t="inlineStr">
        <is>
          <t>%</t>
        </is>
      </c>
    </row>
    <row r="4">
      <c r="A4" t="inlineStr">
        <is>
          <t>^NDX</t>
        </is>
      </c>
      <c r="B4" t="inlineStr">
        <is>
          <t>Nasdaq-100</t>
        </is>
      </c>
      <c r="C4" t="n">
        <v>30883.150390625</v>
      </c>
      <c r="D4" t="n">
        <v>29187.548828125</v>
      </c>
      <c r="E4">
        <f>IF(C4="","",(D4/C4-1)*100)</f>
        <v/>
      </c>
      <c r="F4" t="inlineStr">
        <is>
          <t>%</t>
        </is>
      </c>
    </row>
    <row r="5">
      <c r="A5" t="inlineStr">
        <is>
          <t>^DJI</t>
        </is>
      </c>
      <c r="B5" t="inlineStr">
        <is>
          <t>Dow 道指</t>
        </is>
      </c>
      <c r="C5" t="n">
        <v>51654.94921875</v>
      </c>
      <c r="D5" t="n">
        <v>52002.41015625</v>
      </c>
      <c r="E5">
        <f>IF(C5="","",(D5/C5-1)*100)</f>
        <v/>
      </c>
      <c r="F5" t="inlineStr">
        <is>
          <t>%</t>
        </is>
      </c>
    </row>
    <row r="6">
      <c r="A6" t="inlineStr">
        <is>
          <t>^SOX</t>
        </is>
      </c>
      <c r="B6" t="inlineStr">
        <is>
          <t>SOX 费城半导体</t>
        </is>
      </c>
      <c r="C6" t="n">
        <v>12572.419921875</v>
      </c>
      <c r="D6" t="n">
        <v>11137.287109375</v>
      </c>
      <c r="E6">
        <f>IF(C6="","",(D6/C6-1)*100)</f>
        <v/>
      </c>
      <c r="F6" t="inlineStr">
        <is>
          <t>%</t>
        </is>
      </c>
    </row>
    <row r="7">
      <c r="A7" t="inlineStr">
        <is>
          <t>^RUT</t>
        </is>
      </c>
      <c r="B7" t="inlineStr">
        <is>
          <t>Russell 2000</t>
        </is>
      </c>
      <c r="C7" t="n">
        <v>2806.97998046875</v>
      </c>
      <c r="D7" t="n">
        <v>2721.3701171875</v>
      </c>
      <c r="E7">
        <f>IF(C7="","",(D7/C7-1)*100)</f>
        <v/>
      </c>
      <c r="F7" t="inlineStr">
        <is>
          <t>%</t>
        </is>
      </c>
    </row>
    <row r="8">
      <c r="A8" t="inlineStr">
        <is>
          <t>^VIX</t>
        </is>
      </c>
      <c r="B8" t="inlineStr">
        <is>
          <t>VIX 波动率</t>
        </is>
      </c>
      <c r="C8" t="n">
        <v>14.84000015258789</v>
      </c>
      <c r="D8" t="n">
        <v>19.98999977111816</v>
      </c>
      <c r="E8">
        <f>D8-C8</f>
        <v/>
      </c>
      <c r="F8" t="inlineStr">
        <is>
          <t>pt</t>
        </is>
      </c>
    </row>
    <row r="9">
      <c r="A9" t="inlineStr">
        <is>
          <t>^TNX</t>
        </is>
      </c>
      <c r="B9" t="inlineStr">
        <is>
          <t>US 10Y 美债10年 %</t>
        </is>
      </c>
      <c r="C9" t="n">
        <v>5.24399995803833</v>
      </c>
      <c r="D9" t="n">
        <v>5.098000049591064</v>
      </c>
      <c r="E9">
        <f>(D9-C9)*100</f>
        <v/>
      </c>
      <c r="F9" t="inlineStr">
        <is>
          <t>bp</t>
        </is>
      </c>
    </row>
    <row r="10">
      <c r="A10" t="inlineStr">
        <is>
          <t>^FVX</t>
        </is>
      </c>
      <c r="B10" t="inlineStr">
        <is>
          <t>US 5Y 美债5年 %</t>
        </is>
      </c>
      <c r="C10" t="n">
        <v>5.020999908447266</v>
      </c>
      <c r="D10" t="n">
        <v>4.89900016784668</v>
      </c>
      <c r="E10">
        <f>(D10-C10)*100</f>
        <v/>
      </c>
      <c r="F10" t="inlineStr">
        <is>
          <t>bp</t>
        </is>
      </c>
    </row>
    <row r="11">
      <c r="A11" t="inlineStr">
        <is>
          <t>DX-Y.NYB</t>
        </is>
      </c>
      <c r="B11" t="inlineStr">
        <is>
          <t>DXY 美元指数</t>
        </is>
      </c>
      <c r="C11" t="n">
        <v>102.2099990844727</v>
      </c>
      <c r="D11" t="n">
        <v>101.7789993286133</v>
      </c>
      <c r="E11">
        <f>IF(C11="","",(D11/C11-1)*100)</f>
        <v/>
      </c>
      <c r="F11" t="inlineStr">
        <is>
          <t>%</t>
        </is>
      </c>
    </row>
    <row r="12">
      <c r="A12" t="inlineStr">
        <is>
          <t>JPY=X</t>
        </is>
      </c>
      <c r="B12" t="inlineStr">
        <is>
          <t>USD/JPY 美元兑日元</t>
        </is>
      </c>
      <c r="C12" t="n">
        <v>158.0630035400391</v>
      </c>
      <c r="D12" t="n">
        <v>157.9869995117188</v>
      </c>
      <c r="E12">
        <f>IF(C12="","",(D12/C12-1)*100)</f>
        <v/>
      </c>
      <c r="F12" t="inlineStr">
        <is>
          <t>%</t>
        </is>
      </c>
    </row>
    <row r="13">
      <c r="A13" t="inlineStr">
        <is>
          <t>BZ=F</t>
        </is>
      </c>
      <c r="B13" t="inlineStr">
        <is>
          <t>Brent 布伦特原油</t>
        </is>
      </c>
      <c r="C13" t="n">
        <v>104.7200012207031</v>
      </c>
      <c r="D13" t="n">
        <v>109.6900024414062</v>
      </c>
      <c r="E13">
        <f>IF(C13="","",(D13/C13-1)*100)</f>
        <v/>
      </c>
      <c r="F13" t="inlineStr">
        <is>
          <t>%</t>
        </is>
      </c>
    </row>
    <row r="14">
      <c r="A14" t="inlineStr">
        <is>
          <t>CL=F</t>
        </is>
      </c>
      <c r="B14" t="inlineStr">
        <is>
          <t>WTI 原油</t>
        </is>
      </c>
      <c r="C14" t="n">
        <v>91.84999847412109</v>
      </c>
      <c r="D14" t="n">
        <v>99.04000091552734</v>
      </c>
      <c r="E14">
        <f>IF(C14="","",(D14/C14-1)*100)</f>
        <v/>
      </c>
      <c r="F14" t="inlineStr">
        <is>
          <t>%</t>
        </is>
      </c>
    </row>
    <row r="15">
      <c r="A15" t="inlineStr">
        <is>
          <t>GC=F</t>
        </is>
      </c>
      <c r="B15" t="inlineStr">
        <is>
          <t>Gold 黄金</t>
        </is>
      </c>
      <c r="C15" t="n">
        <v>4216.2998046875</v>
      </c>
      <c r="D15" t="n">
        <v>4186.7001953125</v>
      </c>
      <c r="E15">
        <f>IF(C15="","",(D15/C15-1)*100)</f>
        <v/>
      </c>
      <c r="F15" t="inlineStr">
        <is>
          <t>%</t>
        </is>
      </c>
    </row>
    <row r="16">
      <c r="A16" t="inlineStr">
        <is>
          <t>BTC-USD</t>
        </is>
      </c>
      <c r="B16" t="inlineStr">
        <is>
          <t>Bitcoin 比特币</t>
        </is>
      </c>
      <c r="C16" t="n">
        <v>82546.3203125</v>
      </c>
      <c r="D16" t="n">
        <v>82141.4609375</v>
      </c>
      <c r="E16">
        <f>IF(C16="","",(D16/C16-1)*100)</f>
        <v/>
      </c>
      <c r="F16" t="inlineStr">
        <is>
          <t>%</t>
        </is>
      </c>
    </row>
    <row r="17">
      <c r="A17" t="inlineStr">
        <is>
          <t>^N225</t>
        </is>
      </c>
      <c r="B17" t="inlineStr">
        <is>
          <t>Nikkei 日经225</t>
        </is>
      </c>
      <c r="C17" t="n">
        <v>69030.921875</v>
      </c>
      <c r="D17" t="n">
        <v>64425.94921875</v>
      </c>
      <c r="E17">
        <f>IF(C17="","",(D17/C17-1)*100)</f>
        <v/>
      </c>
      <c r="F17" t="inlineStr">
        <is>
          <t>%</t>
        </is>
      </c>
    </row>
    <row r="18">
      <c r="A18" t="inlineStr">
        <is>
          <t>^KS11</t>
        </is>
      </c>
      <c r="B18" t="inlineStr">
        <is>
          <t>KOSPI 韩国综合</t>
        </is>
      </c>
      <c r="C18" t="n">
        <v>6625.93017578125</v>
      </c>
      <c r="D18" t="n">
        <v>5554.22021484375</v>
      </c>
      <c r="E18">
        <f>IF(C18="","",(D18/C18-1)*100)</f>
        <v/>
      </c>
      <c r="F18" t="inlineStr">
        <is>
          <t>%</t>
        </is>
      </c>
    </row>
    <row r="19">
      <c r="A19" t="inlineStr">
        <is>
          <t>^TWII</t>
        </is>
      </c>
      <c r="B19" t="inlineStr">
        <is>
          <t>TAIEX 台湾加权</t>
        </is>
      </c>
      <c r="C19" t="n">
        <v>49313.44140625</v>
      </c>
      <c r="D19" t="n">
        <v>46969.87109375</v>
      </c>
      <c r="E19">
        <f>IF(C19="","",(D19/C19-1)*100)</f>
        <v/>
      </c>
      <c r="F1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Prev Fri close</t>
        </is>
      </c>
      <c r="C1" s="1" t="inlineStr">
        <is>
          <t>This Fri close</t>
        </is>
      </c>
      <c r="D1" s="1" t="inlineStr">
        <is>
          <t>Week %</t>
        </is>
      </c>
    </row>
    <row r="2">
      <c r="A2" t="inlineStr">
        <is>
          <t>SPCX</t>
        </is>
      </c>
      <c r="B2" t="n">
        <v>162.57</v>
      </c>
      <c r="C2" t="n">
        <v>146.03</v>
      </c>
      <c r="D2">
        <f>IF(B2="","",(C2/B2-1)*100)</f>
        <v/>
      </c>
    </row>
    <row r="3">
      <c r="A3" t="inlineStr">
        <is>
          <t>TSLA</t>
        </is>
      </c>
      <c r="B3" t="n">
        <v>382.7</v>
      </c>
      <c r="C3" t="n">
        <v>354.72</v>
      </c>
      <c r="D3">
        <f>IF(B3="","",(C3/B3-1)*100)</f>
        <v/>
      </c>
    </row>
    <row r="4">
      <c r="A4" t="inlineStr">
        <is>
          <t>NVDA</t>
        </is>
      </c>
      <c r="B4" t="n">
        <v>229.28</v>
      </c>
      <c r="C4" t="n">
        <v>214.13</v>
      </c>
      <c r="D4">
        <f>IF(B4="","",(C4/B4-1)*100)</f>
        <v/>
      </c>
    </row>
    <row r="5">
      <c r="A5" t="inlineStr">
        <is>
          <t>MU</t>
        </is>
      </c>
      <c r="B5" t="n">
        <v>1028.8381</v>
      </c>
      <c r="C5" t="n">
        <v>878.84</v>
      </c>
      <c r="D5">
        <f>IF(B5="","",(C5/B5-1)*100)</f>
        <v/>
      </c>
    </row>
    <row r="6">
      <c r="A6" t="inlineStr">
        <is>
          <t>GLW</t>
        </is>
      </c>
      <c r="B6" t="n">
        <v>156.68</v>
      </c>
      <c r="C6" t="n">
        <v>132</v>
      </c>
      <c r="D6">
        <f>IF(B6="","",(C6/B6-1)*100)</f>
        <v/>
      </c>
    </row>
    <row r="7">
      <c r="A7" t="inlineStr">
        <is>
          <t>ARM</t>
        </is>
      </c>
      <c r="B7" t="n">
        <v>266.28</v>
      </c>
      <c r="C7" t="n">
        <v>227.8</v>
      </c>
      <c r="D7">
        <f>IF(B7="","",(C7/B7-1)*100)</f>
        <v/>
      </c>
    </row>
    <row r="8">
      <c r="A8" t="inlineStr">
        <is>
          <t>AAPL</t>
        </is>
      </c>
      <c r="B8" t="n">
        <v>336.64</v>
      </c>
      <c r="C8" t="n">
        <v>343.46</v>
      </c>
      <c r="D8">
        <f>IF(B8="","",(C8/B8-1)*100)</f>
        <v/>
      </c>
    </row>
    <row r="9">
      <c r="A9" t="inlineStr">
        <is>
          <t>TSM</t>
        </is>
      </c>
      <c r="B9" t="n">
        <v>453.31</v>
      </c>
      <c r="C9" t="n">
        <v>412.61</v>
      </c>
      <c r="D9">
        <f>IF(B9="","",(C9/B9-1)*100)</f>
        <v/>
      </c>
    </row>
    <row r="10">
      <c r="A10" t="inlineStr">
        <is>
          <t>AVGO</t>
        </is>
      </c>
      <c r="B10" t="n">
        <v>361.54</v>
      </c>
      <c r="C10" t="n">
        <v>328.75</v>
      </c>
      <c r="D10">
        <f>IF(B10="","",(C10/B10-1)*100)</f>
        <v/>
      </c>
    </row>
    <row r="11">
      <c r="A11" t="inlineStr">
        <is>
          <t>QCOM</t>
        </is>
      </c>
      <c r="B11" t="n">
        <v>175.5</v>
      </c>
      <c r="C11" t="n">
        <v>172.11</v>
      </c>
      <c r="D11">
        <f>IF(B11="","",(C11/B11-1)*100)</f>
        <v/>
      </c>
    </row>
    <row r="12">
      <c r="A12" t="inlineStr">
        <is>
          <t>MRVL</t>
        </is>
      </c>
      <c r="B12" t="n">
        <v>275.28</v>
      </c>
      <c r="C12" t="n">
        <v>227.83</v>
      </c>
      <c r="D12">
        <f>IF(B12="","",(C12/B12-1)*100)</f>
        <v/>
      </c>
    </row>
    <row r="13">
      <c r="A13" t="inlineStr">
        <is>
          <t>INTC</t>
        </is>
      </c>
      <c r="B13" t="n">
        <v>104.7</v>
      </c>
      <c r="C13" t="n">
        <v>89.84999999999999</v>
      </c>
      <c r="D13">
        <f>IF(B13="","",(C13/B13-1)*100)</f>
        <v/>
      </c>
    </row>
    <row r="14">
      <c r="A14" t="inlineStr">
        <is>
          <t>LITE</t>
        </is>
      </c>
      <c r="B14" t="n">
        <v>1103.355</v>
      </c>
      <c r="C14" t="n">
        <v>824.13</v>
      </c>
      <c r="D14">
        <f>IF(B14="","",(C14/B14-1)*100)</f>
        <v/>
      </c>
    </row>
    <row r="15">
      <c r="A15" t="inlineStr">
        <is>
          <t>PLTR</t>
        </is>
      </c>
      <c r="B15" t="n">
        <v>209.05</v>
      </c>
      <c r="C15" t="n">
        <v>186.03</v>
      </c>
      <c r="D15">
        <f>IF(B15="","",(C15/B15-1)*100)</f>
        <v/>
      </c>
    </row>
    <row r="16">
      <c r="A16" t="inlineStr">
        <is>
          <t>CRWD</t>
        </is>
      </c>
      <c r="B16" t="n">
        <v>275.04</v>
      </c>
      <c r="C16" t="n">
        <v>227.39</v>
      </c>
      <c r="D16">
        <f>IF(B16="","",(C16/B16-1)*100)</f>
        <v/>
      </c>
    </row>
    <row r="17">
      <c r="A17" t="inlineStr">
        <is>
          <t>CRWV</t>
        </is>
      </c>
      <c r="B17" t="n">
        <v>82.08</v>
      </c>
      <c r="C17" t="n">
        <v>61.39</v>
      </c>
      <c r="D17">
        <f>IF(B17="","",(C17/B17-1)*100)</f>
        <v/>
      </c>
    </row>
    <row r="18">
      <c r="A18" t="inlineStr">
        <is>
          <t>CIEN</t>
        </is>
      </c>
      <c r="B18" t="n">
        <v>449.77</v>
      </c>
      <c r="C18" t="n">
        <v>332.73</v>
      </c>
      <c r="D18">
        <f>IF(B18="","",(C18/B18-1)*100)</f>
        <v/>
      </c>
    </row>
    <row r="19">
      <c r="A19" t="inlineStr">
        <is>
          <t>COHR</t>
        </is>
      </c>
      <c r="B19" t="n">
        <v>312.62</v>
      </c>
      <c r="C19" t="n">
        <v>232.9</v>
      </c>
      <c r="D19">
        <f>IF(B19="","",(C19/B19-1)*100)</f>
        <v/>
      </c>
    </row>
    <row r="20">
      <c r="A20" t="inlineStr">
        <is>
          <t>KLAC</t>
        </is>
      </c>
      <c r="B20" t="n">
        <v>195.57</v>
      </c>
      <c r="C20" t="n">
        <v>165.74</v>
      </c>
      <c r="D20">
        <f>IF(B20="","",(C20/B20-1)*100)</f>
        <v/>
      </c>
    </row>
    <row r="21">
      <c r="A21" t="inlineStr">
        <is>
          <t>AMAT</t>
        </is>
      </c>
      <c r="B21" t="n">
        <v>507.03</v>
      </c>
      <c r="C21" t="n">
        <v>409.29</v>
      </c>
      <c r="D21">
        <f>IF(B21="","",(C21/B21-1)*100)</f>
        <v/>
      </c>
    </row>
    <row r="22">
      <c r="A22" t="inlineStr">
        <is>
          <t>AMD</t>
        </is>
      </c>
      <c r="B22" t="n">
        <v>608.1</v>
      </c>
      <c r="C22" t="n">
        <v>528.75</v>
      </c>
      <c r="D22">
        <f>IF(B22="","",(C22/B22-1)*100)</f>
        <v/>
      </c>
    </row>
    <row r="23">
      <c r="A23" t="inlineStr">
        <is>
          <t>EME</t>
        </is>
      </c>
      <c r="B23" t="n">
        <v>789.0263</v>
      </c>
      <c r="C23" t="n">
        <v>721.66</v>
      </c>
      <c r="D23">
        <f>IF(B23="","",(C23/B23-1)*100)</f>
        <v/>
      </c>
    </row>
    <row r="24">
      <c r="A24" t="inlineStr">
        <is>
          <t>PWR</t>
        </is>
      </c>
      <c r="B24" t="n">
        <v>705.9400000000001</v>
      </c>
      <c r="C24" t="n">
        <v>631.86</v>
      </c>
      <c r="D24">
        <f>IF(B24="","",(C24/B24-1)*100)</f>
        <v/>
      </c>
    </row>
    <row r="25">
      <c r="A25" t="inlineStr">
        <is>
          <t>CCL</t>
        </is>
      </c>
      <c r="B25" t="n">
        <v>26.35</v>
      </c>
      <c r="C25" t="n">
        <v>25.9</v>
      </c>
      <c r="D25">
        <f>IF(B25="","",(C25/B25-1)*100)</f>
        <v/>
      </c>
    </row>
    <row r="26">
      <c r="A26" t="inlineStr">
        <is>
          <t>SIMO</t>
        </is>
      </c>
      <c r="B26" t="n">
        <v>263.9</v>
      </c>
      <c r="C26" t="n">
        <v>211.3</v>
      </c>
      <c r="D26">
        <f>IF(B26="","",(C26/B26-1)*100)</f>
        <v/>
      </c>
    </row>
    <row r="27">
      <c r="A27" t="inlineStr">
        <is>
          <t>RKLB</t>
        </is>
      </c>
      <c r="B27" t="n">
        <v>68.20999999999999</v>
      </c>
      <c r="C27" t="n">
        <v>50.84</v>
      </c>
      <c r="D27">
        <f>IF(B27="","",(C27/B27-1)*100)</f>
        <v/>
      </c>
    </row>
    <row r="28">
      <c r="A28" t="inlineStr">
        <is>
          <t>MXL</t>
        </is>
      </c>
      <c r="B28" t="n">
        <v>96.16</v>
      </c>
      <c r="C28" t="n">
        <v>71.31999999999999</v>
      </c>
      <c r="D28">
        <f>IF(B28="","",(C28/B28-1)*100)</f>
        <v/>
      </c>
    </row>
    <row r="29"/>
    <row r="30">
      <c r="A30" t="inlineStr">
        <is>
          <t>Median</t>
        </is>
      </c>
      <c r="B30" t="inlineStr"/>
      <c r="C30" t="inlineStr"/>
      <c r="D30">
        <f>MEDIAN(D2:D28)</f>
        <v/>
      </c>
    </row>
    <row r="31">
      <c r="A31" t="inlineStr">
        <is>
          <t>Count down</t>
        </is>
      </c>
      <c r="B31" t="inlineStr"/>
      <c r="C31" t="inlineStr"/>
      <c r="D31">
        <f>COUNTIF(D2:D28,"&lt;0")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Event</t>
        </is>
      </c>
      <c r="B1" s="1" t="inlineStr">
        <is>
          <t>Outcome</t>
        </is>
      </c>
      <c r="C1" s="1" t="inlineStr">
        <is>
          <t>Brier OS</t>
        </is>
      </c>
      <c r="D1" s="1" t="inlineStr">
        <is>
          <t>Brier uniform</t>
        </is>
      </c>
      <c r="E1" s="1" t="inlineStr">
        <is>
          <t>Brier base</t>
        </is>
      </c>
      <c r="F1" s="1" t="inlineStr">
        <is>
          <t>OS beats uniform?</t>
        </is>
      </c>
    </row>
    <row r="2">
      <c r="A2" t="inlineStr">
        <is>
          <t>Fed Chair Warsh x IMF Georgieva</t>
        </is>
      </c>
      <c r="B2" t="inlineStr">
        <is>
          <t>neutral</t>
        </is>
      </c>
      <c r="C2" t="n">
        <v>0.38</v>
      </c>
      <c r="D2" t="n">
        <v>0.6666666666666667</v>
      </c>
      <c r="F2">
        <f>IF(C2&lt;D2,1,0)</f>
        <v/>
      </c>
    </row>
    <row r="3">
      <c r="A3" t="inlineStr">
        <is>
          <t>TSM Q3 2026 Earnings</t>
        </is>
      </c>
      <c r="B3" t="inlineStr">
        <is>
          <t>beat</t>
        </is>
      </c>
      <c r="C3" t="n">
        <v>0.7549999999999999</v>
      </c>
      <c r="D3" t="n">
        <v>0.6666666666666667</v>
      </c>
      <c r="E3" t="n">
        <v>0.1666666666666667</v>
      </c>
      <c r="F3">
        <f>IF(C3&lt;D3,1,0)</f>
        <v/>
      </c>
    </row>
    <row r="4">
      <c r="A4" t="inlineStr">
        <is>
          <t>US CPI Sep 2026</t>
        </is>
      </c>
      <c r="B4" t="inlineStr">
        <is>
          <t>HOT 偏热</t>
        </is>
      </c>
      <c r="C4" t="n">
        <v>0.875</v>
      </c>
      <c r="D4" t="n">
        <v>0.667</v>
      </c>
      <c r="E4" t="n">
        <v>0.349</v>
      </c>
      <c r="F4">
        <f>IF(C4&lt;D4,1,0)</f>
        <v/>
      </c>
    </row>
    <row r="5">
      <c r="A5" t="inlineStr">
        <is>
          <t>US PPI Sep 2026</t>
        </is>
      </c>
      <c r="B5" t="inlineStr">
        <is>
          <t>hot</t>
        </is>
      </c>
      <c r="C5" t="n">
        <v>0.875</v>
      </c>
      <c r="D5" t="n">
        <v>0.6666666666666667</v>
      </c>
      <c r="E5" t="n">
        <v>1.260802469135802</v>
      </c>
      <c r="F5">
        <f>IF(C5&lt;D5,1,0)</f>
        <v/>
      </c>
    </row>
    <row r="6">
      <c r="A6" t="inlineStr">
        <is>
          <t>US Retail Sales Sep 2026</t>
        </is>
      </c>
      <c r="B6" t="inlineStr">
        <is>
          <t>strong</t>
        </is>
      </c>
      <c r="C6" t="n">
        <v>1.005</v>
      </c>
      <c r="D6" t="n">
        <v>0.6666666666666667</v>
      </c>
      <c r="E6" t="n">
        <v>0.7237654320987654</v>
      </c>
      <c r="F6">
        <f>IF(C6&lt;D6,1,0)</f>
        <v/>
      </c>
    </row>
    <row r="7">
      <c r="A7" t="inlineStr">
        <is>
          <t>TOTAL / wins</t>
        </is>
      </c>
      <c r="B7" t="inlineStr"/>
      <c r="C7">
        <f>AVERAGE(C2:C6)</f>
        <v/>
      </c>
      <c r="D7">
        <f>AVERAGE(D2:D6)</f>
        <v/>
      </c>
      <c r="E7">
        <f>AVERAGE(E2:E6)</f>
        <v/>
      </c>
      <c r="F7">
        <f>SUM(F2:F6)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Market</t>
        </is>
      </c>
      <c r="B1" s="1" t="inlineStr">
        <is>
          <t>Theme</t>
        </is>
      </c>
      <c r="C1" s="1" t="inlineStr">
        <is>
          <t>N</t>
        </is>
      </c>
      <c r="D1" s="1" t="inlineStr">
        <is>
          <t>1W %</t>
        </is>
      </c>
      <c r="E1" s="1" t="inlineStr">
        <is>
          <t>1M %</t>
        </is>
      </c>
      <c r="F1" s="1" t="inlineStr">
        <is>
          <t>3M %</t>
        </is>
      </c>
      <c r="G1" s="1" t="inlineStr">
        <is>
          <t>Score (radar)</t>
        </is>
      </c>
      <c r="H1" s="1" t="inlineStr">
        <is>
          <t>Score recalculated</t>
        </is>
      </c>
    </row>
    <row r="2">
      <c r="A2" t="inlineStr">
        <is>
          <t>TW</t>
        </is>
      </c>
      <c r="B2" t="inlineStr">
        <is>
          <t>PCB 印刷电路板</t>
        </is>
      </c>
      <c r="C2" t="n">
        <v>1</v>
      </c>
      <c r="D2" t="n">
        <v>-3.1</v>
      </c>
      <c r="E2" t="n">
        <v>22.1</v>
      </c>
      <c r="F2" t="n">
        <v>23.9</v>
      </c>
      <c r="G2" t="n">
        <v>9.800000000000001</v>
      </c>
      <c r="H2">
        <f>0.5*D2+0.3*E2+0.2*F2</f>
        <v/>
      </c>
    </row>
    <row r="3">
      <c r="A3" t="inlineStr">
        <is>
          <t>TW</t>
        </is>
      </c>
      <c r="B3" t="inlineStr">
        <is>
          <t>Thermal 散热</t>
        </is>
      </c>
      <c r="C3" t="n">
        <v>2</v>
      </c>
      <c r="D3" t="n">
        <v>-4.9</v>
      </c>
      <c r="E3" t="n">
        <v>4.7</v>
      </c>
      <c r="F3" t="n">
        <v>53.9</v>
      </c>
      <c r="G3" t="n">
        <v>9.699999999999999</v>
      </c>
      <c r="H3">
        <f>0.5*D3+0.3*E3+0.2*F3</f>
        <v/>
      </c>
    </row>
    <row r="4">
      <c r="A4" t="inlineStr">
        <is>
          <t>JP</t>
        </is>
      </c>
      <c r="B4" t="inlineStr">
        <is>
          <t>Power Grid 电网</t>
        </is>
      </c>
      <c r="C4" t="n">
        <v>1</v>
      </c>
      <c r="D4" t="n">
        <v>3.1</v>
      </c>
      <c r="E4" t="n">
        <v>11.5</v>
      </c>
      <c r="F4" t="n">
        <v>23</v>
      </c>
      <c r="G4" t="n">
        <v>9.6</v>
      </c>
      <c r="H4">
        <f>0.5*D4+0.3*E4+0.2*F4</f>
        <v/>
      </c>
    </row>
    <row r="5">
      <c r="A5" t="inlineStr">
        <is>
          <t>KR</t>
        </is>
      </c>
      <c r="B5" t="inlineStr">
        <is>
          <t>Battery 电池</t>
        </is>
      </c>
      <c r="C5" t="n">
        <v>1</v>
      </c>
      <c r="D5" t="n">
        <v>0.5</v>
      </c>
      <c r="E5" t="n">
        <v>11.9</v>
      </c>
      <c r="F5" t="n">
        <v>22.7</v>
      </c>
      <c r="G5" t="n">
        <v>8.4</v>
      </c>
      <c r="H5">
        <f>0.5*D5+0.3*E5+0.2*F5</f>
        <v/>
      </c>
    </row>
    <row r="6">
      <c r="A6" t="inlineStr">
        <is>
          <t>TW</t>
        </is>
      </c>
      <c r="B6" t="inlineStr">
        <is>
          <t>PCB/ABF Substrate 载板</t>
        </is>
      </c>
      <c r="C6" t="n">
        <v>2</v>
      </c>
      <c r="D6" t="n">
        <v>-11.2</v>
      </c>
      <c r="E6" t="n">
        <v>20.4</v>
      </c>
      <c r="F6" t="n">
        <v>14.9</v>
      </c>
      <c r="G6" t="n">
        <v>3.5</v>
      </c>
      <c r="H6">
        <f>0.5*D6+0.3*E6+0.2*F6</f>
        <v/>
      </c>
    </row>
    <row r="7">
      <c r="A7" t="inlineStr">
        <is>
          <t>TW</t>
        </is>
      </c>
      <c r="B7" t="inlineStr">
        <is>
          <t>Optical 光通信</t>
        </is>
      </c>
      <c r="C7" t="n">
        <v>2</v>
      </c>
      <c r="D7" t="n">
        <v>-11</v>
      </c>
      <c r="E7" t="n">
        <v>-6.1</v>
      </c>
      <c r="F7" t="n">
        <v>44.9</v>
      </c>
      <c r="G7" t="n">
        <v>1.6</v>
      </c>
      <c r="H7">
        <f>0.5*D7+0.3*E7+0.2*F7</f>
        <v/>
      </c>
    </row>
    <row r="8">
      <c r="A8" t="inlineStr">
        <is>
          <t>TW</t>
        </is>
      </c>
      <c r="B8" t="inlineStr">
        <is>
          <t>ASIC/SoC 芯片设计</t>
        </is>
      </c>
      <c r="C8" t="n">
        <v>3</v>
      </c>
      <c r="D8" t="n">
        <v>-11.7</v>
      </c>
      <c r="E8" t="n">
        <v>4.2</v>
      </c>
      <c r="F8" t="n">
        <v>30.7</v>
      </c>
      <c r="G8" t="n">
        <v>1.6</v>
      </c>
      <c r="H8">
        <f>0.5*D8+0.3*E8+0.2*F8</f>
        <v/>
      </c>
    </row>
    <row r="9">
      <c r="A9" t="inlineStr">
        <is>
          <t>TW</t>
        </is>
      </c>
      <c r="B9" t="inlineStr">
        <is>
          <t>CCL 覆铜板</t>
        </is>
      </c>
      <c r="C9" t="n">
        <v>2</v>
      </c>
      <c r="D9" t="n">
        <v>-10.6</v>
      </c>
      <c r="E9" t="n">
        <v>5.6</v>
      </c>
      <c r="F9" t="n">
        <v>14.3</v>
      </c>
      <c r="G9" t="n">
        <v>-0.7</v>
      </c>
      <c r="H9">
        <f>0.5*D9+0.3*E9+0.2*F9</f>
        <v/>
      </c>
    </row>
    <row r="10">
      <c r="A10" t="inlineStr">
        <is>
          <t>JP</t>
        </is>
      </c>
      <c r="B10" t="inlineStr">
        <is>
          <t>Test 测试</t>
        </is>
      </c>
      <c r="C10" t="n">
        <v>1</v>
      </c>
      <c r="D10" t="n">
        <v>-15.6</v>
      </c>
      <c r="E10" t="n">
        <v>8.9</v>
      </c>
      <c r="F10" t="n">
        <v>19.8</v>
      </c>
      <c r="G10" t="n">
        <v>-1.2</v>
      </c>
      <c r="H10">
        <f>0.5*D10+0.3*E10+0.2*F10</f>
        <v/>
      </c>
    </row>
    <row r="11">
      <c r="A11" t="inlineStr">
        <is>
          <t>TW</t>
        </is>
      </c>
      <c r="B11" t="inlineStr">
        <is>
          <t>Foundry 晶圆代工</t>
        </is>
      </c>
      <c r="C11" t="n">
        <v>1</v>
      </c>
      <c r="D11" t="n">
        <v>-5.1</v>
      </c>
      <c r="E11" t="n">
        <v>2</v>
      </c>
      <c r="F11" t="n">
        <v>-1.7</v>
      </c>
      <c r="G11" t="n">
        <v>-2.3</v>
      </c>
      <c r="H11">
        <f>0.5*D11+0.3*E11+0.2*F11</f>
        <v/>
      </c>
    </row>
    <row r="12">
      <c r="A12" t="inlineStr">
        <is>
          <t>TW</t>
        </is>
      </c>
      <c r="B12" t="inlineStr">
        <is>
          <t>Advanced Packaging 先进封测</t>
        </is>
      </c>
      <c r="C12" t="n">
        <v>1</v>
      </c>
      <c r="D12" t="n">
        <v>-9.800000000000001</v>
      </c>
      <c r="E12" t="n">
        <v>9.6</v>
      </c>
      <c r="F12" t="n">
        <v>-1.6</v>
      </c>
      <c r="G12" t="n">
        <v>-2.3</v>
      </c>
      <c r="H12">
        <f>0.5*D12+0.3*E12+0.2*F12</f>
        <v/>
      </c>
    </row>
    <row r="13">
      <c r="A13" t="inlineStr">
        <is>
          <t>TW</t>
        </is>
      </c>
      <c r="B13" t="inlineStr">
        <is>
          <t>Networking 网通</t>
        </is>
      </c>
      <c r="C13" t="n">
        <v>1</v>
      </c>
      <c r="D13" t="n">
        <v>-4.3</v>
      </c>
      <c r="E13" t="n">
        <v>5.6</v>
      </c>
      <c r="F13" t="n">
        <v>-14</v>
      </c>
      <c r="G13" t="n">
        <v>-3.3</v>
      </c>
      <c r="H13">
        <f>0.5*D13+0.3*E13+0.2*F13</f>
        <v/>
      </c>
    </row>
    <row r="14">
      <c r="A14" t="inlineStr">
        <is>
          <t>JP</t>
        </is>
      </c>
      <c r="B14" t="inlineStr">
        <is>
          <t>Materials 材料</t>
        </is>
      </c>
      <c r="C14" t="n">
        <v>1</v>
      </c>
      <c r="D14" t="n">
        <v>-2.3</v>
      </c>
      <c r="E14" t="n">
        <v>4.5</v>
      </c>
      <c r="F14" t="n">
        <v>-18.3</v>
      </c>
      <c r="G14" t="n">
        <v>-3.5</v>
      </c>
      <c r="H14">
        <f>0.5*D14+0.3*E14+0.2*F14</f>
        <v/>
      </c>
    </row>
    <row r="15">
      <c r="A15" t="inlineStr">
        <is>
          <t>TW</t>
        </is>
      </c>
      <c r="B15" t="inlineStr">
        <is>
          <t>AI Server ODM 服务器代工</t>
        </is>
      </c>
      <c r="C15" t="n">
        <v>4</v>
      </c>
      <c r="D15" t="n">
        <v>-6</v>
      </c>
      <c r="E15" t="n">
        <v>-5.7</v>
      </c>
      <c r="F15" t="n">
        <v>6.1</v>
      </c>
      <c r="G15" t="n">
        <v>-3.5</v>
      </c>
      <c r="H15">
        <f>0.5*D15+0.3*E15+0.2*F15</f>
        <v/>
      </c>
    </row>
    <row r="16">
      <c r="A16" t="inlineStr">
        <is>
          <t>JP</t>
        </is>
      </c>
      <c r="B16" t="inlineStr">
        <is>
          <t>Robotics 机器人</t>
        </is>
      </c>
      <c r="C16" t="n">
        <v>2</v>
      </c>
      <c r="D16" t="n">
        <v>-4.6</v>
      </c>
      <c r="E16" t="n">
        <v>3.1</v>
      </c>
      <c r="F16" t="n">
        <v>-20</v>
      </c>
      <c r="G16" t="n">
        <v>-5.4</v>
      </c>
      <c r="H16">
        <f>0.5*D16+0.3*E16+0.2*F16</f>
        <v/>
      </c>
    </row>
    <row r="17">
      <c r="A17" t="inlineStr">
        <is>
          <t>KR</t>
        </is>
      </c>
      <c r="B17" t="inlineStr">
        <is>
          <t>Defense/Space 国防航天</t>
        </is>
      </c>
      <c r="C17" t="n">
        <v>1</v>
      </c>
      <c r="D17" t="n">
        <v>-0.3</v>
      </c>
      <c r="E17" t="n">
        <v>-17.9</v>
      </c>
      <c r="F17" t="n">
        <v>-5.1</v>
      </c>
      <c r="G17" t="n">
        <v>-6.6</v>
      </c>
      <c r="H17">
        <f>0.5*D17+0.3*E17+0.2*F17</f>
        <v/>
      </c>
    </row>
    <row r="18">
      <c r="A18" t="inlineStr">
        <is>
          <t>JP</t>
        </is>
      </c>
      <c r="B18" t="inlineStr">
        <is>
          <t>SPE 半导体设备</t>
        </is>
      </c>
      <c r="C18" t="n">
        <v>4</v>
      </c>
      <c r="D18" t="n">
        <v>-12.4</v>
      </c>
      <c r="E18" t="n">
        <v>10.8</v>
      </c>
      <c r="F18" t="n">
        <v>-19.1</v>
      </c>
      <c r="G18" t="n">
        <v>-6.8</v>
      </c>
      <c r="H18">
        <f>0.5*D18+0.3*E18+0.2*F18</f>
        <v/>
      </c>
    </row>
    <row r="19">
      <c r="A19" t="inlineStr">
        <is>
          <t>TW</t>
        </is>
      </c>
      <c r="B19" t="inlineStr">
        <is>
          <t>Memory 存储</t>
        </is>
      </c>
      <c r="C19" t="n">
        <v>2</v>
      </c>
      <c r="D19" t="n">
        <v>-12.3</v>
      </c>
      <c r="E19" t="n">
        <v>-2.2</v>
      </c>
      <c r="F19" t="n">
        <v>-2.1</v>
      </c>
      <c r="G19" t="n">
        <v>-7.2</v>
      </c>
      <c r="H19">
        <f>0.5*D19+0.3*E19+0.2*F19</f>
        <v/>
      </c>
    </row>
    <row r="20">
      <c r="A20" t="inlineStr">
        <is>
          <t>JP</t>
        </is>
      </c>
      <c r="B20" t="inlineStr">
        <is>
          <t>PCB/ABF Substrate 载板</t>
        </is>
      </c>
      <c r="C20" t="n">
        <v>1</v>
      </c>
      <c r="D20" t="n">
        <v>-17.3</v>
      </c>
      <c r="E20" t="n">
        <v>-0</v>
      </c>
      <c r="F20" t="n">
        <v>4.6</v>
      </c>
      <c r="G20" t="n">
        <v>-7.7</v>
      </c>
      <c r="H20">
        <f>0.5*D20+0.3*E20+0.2*F20</f>
        <v/>
      </c>
    </row>
    <row r="21">
      <c r="A21" t="inlineStr">
        <is>
          <t>JP</t>
        </is>
      </c>
      <c r="B21" t="inlineStr">
        <is>
          <t>ASIC/SoC 芯片设计</t>
        </is>
      </c>
      <c r="C21" t="n">
        <v>1</v>
      </c>
      <c r="D21" t="n">
        <v>-10.8</v>
      </c>
      <c r="E21" t="n">
        <v>5.3</v>
      </c>
      <c r="F21" t="n">
        <v>-27.8</v>
      </c>
      <c r="G21" t="n">
        <v>-9.4</v>
      </c>
      <c r="H21">
        <f>0.5*D21+0.3*E21+0.2*F21</f>
        <v/>
      </c>
    </row>
    <row r="22">
      <c r="A22" t="inlineStr">
        <is>
          <t>JP</t>
        </is>
      </c>
      <c r="B22" t="inlineStr">
        <is>
          <t>Optical 光通信</t>
        </is>
      </c>
      <c r="C22" t="n">
        <v>2</v>
      </c>
      <c r="D22" t="n">
        <v>-14.9</v>
      </c>
      <c r="E22" t="n">
        <v>-3.1</v>
      </c>
      <c r="F22" t="n">
        <v>-11.8</v>
      </c>
      <c r="G22" t="n">
        <v>-10.8</v>
      </c>
      <c r="H22">
        <f>0.5*D22+0.3*E22+0.2*F22</f>
        <v/>
      </c>
    </row>
    <row r="23">
      <c r="A23" t="inlineStr">
        <is>
          <t>TW</t>
        </is>
      </c>
      <c r="B23" t="inlineStr">
        <is>
          <t>Power 电源</t>
        </is>
      </c>
      <c r="C23" t="n">
        <v>1</v>
      </c>
      <c r="D23" t="n">
        <v>-16.8</v>
      </c>
      <c r="E23" t="n">
        <v>0.9</v>
      </c>
      <c r="F23" t="n">
        <v>-14.2</v>
      </c>
      <c r="G23" t="n">
        <v>-11</v>
      </c>
      <c r="H23">
        <f>0.5*D23+0.3*E23+0.2*F23</f>
        <v/>
      </c>
    </row>
    <row r="24">
      <c r="A24" t="inlineStr">
        <is>
          <t>KR</t>
        </is>
      </c>
      <c r="B24" t="inlineStr">
        <is>
          <t>Advanced Packaging 先进封测</t>
        </is>
      </c>
      <c r="C24" t="n">
        <v>1</v>
      </c>
      <c r="D24" t="n">
        <v>-21.3</v>
      </c>
      <c r="E24" t="n">
        <v>-9.1</v>
      </c>
      <c r="F24" t="n">
        <v>2.2</v>
      </c>
      <c r="G24" t="n">
        <v>-13</v>
      </c>
      <c r="H24">
        <f>0.5*D24+0.3*E24+0.2*F24</f>
        <v/>
      </c>
    </row>
    <row r="25">
      <c r="A25" t="inlineStr">
        <is>
          <t>KR</t>
        </is>
      </c>
      <c r="B25" t="inlineStr">
        <is>
          <t>PCB 印刷电路板</t>
        </is>
      </c>
      <c r="C25" t="n">
        <v>1</v>
      </c>
      <c r="D25" t="n">
        <v>-20.8</v>
      </c>
      <c r="E25" t="n">
        <v>-9.6</v>
      </c>
      <c r="F25" t="n">
        <v>-0.2</v>
      </c>
      <c r="G25" t="n">
        <v>-13.3</v>
      </c>
      <c r="H25">
        <f>0.5*D25+0.3*E25+0.2*F25</f>
        <v/>
      </c>
    </row>
    <row r="26">
      <c r="A26" t="inlineStr">
        <is>
          <t>KR</t>
        </is>
      </c>
      <c r="B26" t="inlineStr">
        <is>
          <t>Autos/Robotics 汽车/机器人</t>
        </is>
      </c>
      <c r="C26" t="n">
        <v>1</v>
      </c>
      <c r="D26" t="n">
        <v>-3.9</v>
      </c>
      <c r="E26" t="n">
        <v>-18.4</v>
      </c>
      <c r="F26" t="n">
        <v>-29.3</v>
      </c>
      <c r="G26" t="n">
        <v>-13.3</v>
      </c>
      <c r="H26">
        <f>0.5*D26+0.3*E26+0.2*F26</f>
        <v/>
      </c>
    </row>
    <row r="27">
      <c r="A27" t="inlineStr">
        <is>
          <t>JP</t>
        </is>
      </c>
      <c r="B27" t="inlineStr">
        <is>
          <t>Components 被动元件</t>
        </is>
      </c>
      <c r="C27" t="n">
        <v>1</v>
      </c>
      <c r="D27" t="n">
        <v>-16.5</v>
      </c>
      <c r="E27" t="n">
        <v>-5.7</v>
      </c>
      <c r="F27" t="n">
        <v>-23.6</v>
      </c>
      <c r="G27" t="n">
        <v>-14.7</v>
      </c>
      <c r="H27">
        <f>0.5*D27+0.3*E27+0.2*F27</f>
        <v/>
      </c>
    </row>
    <row r="28">
      <c r="A28" t="inlineStr">
        <is>
          <t>KR</t>
        </is>
      </c>
      <c r="B28" t="inlineStr">
        <is>
          <t>Components 被动元件</t>
        </is>
      </c>
      <c r="C28" t="n">
        <v>1</v>
      </c>
      <c r="D28" t="n">
        <v>-23.2</v>
      </c>
      <c r="E28" t="n">
        <v>-15.1</v>
      </c>
      <c r="F28" t="n">
        <v>-7.8</v>
      </c>
      <c r="G28" t="n">
        <v>-17.7</v>
      </c>
      <c r="H28">
        <f>0.5*D28+0.3*E28+0.2*F28</f>
        <v/>
      </c>
    </row>
    <row r="29">
      <c r="A29" t="inlineStr">
        <is>
          <t>KR</t>
        </is>
      </c>
      <c r="B29" t="inlineStr">
        <is>
          <t>Power Gen 发电</t>
        </is>
      </c>
      <c r="C29" t="n">
        <v>1</v>
      </c>
      <c r="D29" t="n">
        <v>-17.2</v>
      </c>
      <c r="E29" t="n">
        <v>-28.9</v>
      </c>
      <c r="F29" t="n">
        <v>-11.7</v>
      </c>
      <c r="G29" t="n">
        <v>-19.6</v>
      </c>
      <c r="H29">
        <f>0.5*D29+0.3*E29+0.2*F29</f>
        <v/>
      </c>
    </row>
    <row r="30">
      <c r="A30" t="inlineStr">
        <is>
          <t>JP</t>
        </is>
      </c>
      <c r="B30" t="inlineStr">
        <is>
          <t>AI Platform/Capital AI 资本</t>
        </is>
      </c>
      <c r="C30" t="n">
        <v>1</v>
      </c>
      <c r="D30" t="n">
        <v>-18.1</v>
      </c>
      <c r="E30" t="n">
        <v>-24.3</v>
      </c>
      <c r="F30" t="n">
        <v>-22.2</v>
      </c>
      <c r="G30" t="n">
        <v>-20.8</v>
      </c>
      <c r="H30">
        <f>0.5*D30+0.3*E30+0.2*F30</f>
        <v/>
      </c>
    </row>
    <row r="31">
      <c r="A31" t="inlineStr">
        <is>
          <t>KR</t>
        </is>
      </c>
      <c r="B31" t="inlineStr">
        <is>
          <t>Memory 存储</t>
        </is>
      </c>
      <c r="C31" t="n">
        <v>2</v>
      </c>
      <c r="D31" t="n">
        <v>-21</v>
      </c>
      <c r="E31" t="n">
        <v>-23.4</v>
      </c>
      <c r="F31" t="n">
        <v>-23.2</v>
      </c>
      <c r="G31" t="n">
        <v>-22.2</v>
      </c>
      <c r="H31">
        <f>0.5*D31+0.3*E31+0.2*F31</f>
        <v/>
      </c>
    </row>
    <row r="32">
      <c r="A32" t="inlineStr">
        <is>
          <t>KR</t>
        </is>
      </c>
      <c r="B32" t="inlineStr">
        <is>
          <t>Power Grid 电网</t>
        </is>
      </c>
      <c r="C32" t="n">
        <v>3</v>
      </c>
      <c r="D32" t="n">
        <v>-18.8</v>
      </c>
      <c r="E32" t="n">
        <v>-28.6</v>
      </c>
      <c r="F32" t="n">
        <v>-25.4</v>
      </c>
      <c r="G32" t="n">
        <v>-23.1</v>
      </c>
      <c r="H32">
        <f>0.5*D32+0.3*E32+0.2*F32</f>
        <v/>
      </c>
    </row>
    <row r="33">
      <c r="A33" t="inlineStr">
        <is>
          <t>JP</t>
        </is>
      </c>
      <c r="B33" t="inlineStr">
        <is>
          <t>Memory 存储</t>
        </is>
      </c>
      <c r="C33" t="n">
        <v>1</v>
      </c>
      <c r="D33" t="n">
        <v>-25.3</v>
      </c>
      <c r="E33" t="n">
        <v>-25.7</v>
      </c>
      <c r="F33" t="n">
        <v>-40.2</v>
      </c>
      <c r="G33" t="n">
        <v>-28.4</v>
      </c>
      <c r="H33">
        <f>0.5*D33+0.3*E33+0.2*F33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CXMT (ChangXin Memory) announced a higher-density server-DRAM architecture; SOX −2.7% Mon; Samsung −10%, SK Hynix −8%.</t>
        </is>
      </c>
      <c r="B2" t="inlineStr">
        <is>
          <t>cn13 / reu</t>
        </is>
      </c>
      <c r="C2" t="inlineStr">
        <is>
          <t>FACT</t>
        </is>
      </c>
      <c r="D2" t="inlineStr">
        <is>
          <t>10/10–12 周末–周一</t>
        </is>
      </c>
    </row>
    <row r="3">
      <c r="A3" t="inlineStr">
        <is>
          <t>Broadcom's Hock Tan and Intel's CEO warned financing could become a major headwind to the AI build-out.</t>
        </is>
      </c>
      <c r="B3" t="inlineStr">
        <is>
          <t>cn15</t>
        </is>
      </c>
      <c r="C3" t="inlineStr">
        <is>
          <t>FACT</t>
        </is>
      </c>
      <c r="D3" t="inlineStr">
        <is>
          <t>10/12 周一</t>
        </is>
      </c>
    </row>
    <row r="4">
      <c r="A4" t="inlineStr">
        <is>
          <t>KOSPI fell &gt;6% (5th straight day of Korean chip selling), Kioxia −13%; a CoreWeave bond issued in June yielded 15% vs 9.625% at issue.</t>
        </is>
      </c>
      <c r="B4" t="inlineStr">
        <is>
          <t>reu</t>
        </is>
      </c>
      <c r="C4" t="inlineStr">
        <is>
          <t>FACT</t>
        </is>
      </c>
      <c r="D4" t="inlineStr">
        <is>
          <t>10/13 周二</t>
        </is>
      </c>
    </row>
    <row r="5">
      <c r="A5" t="inlineStr">
        <is>
          <t>Sep CPI 3.7% YoY / 0.6% MoM (gasoline-led), core 2.6% YoY → OS class HOT.</t>
        </is>
      </c>
      <c r="B5" t="inlineStr">
        <is>
          <t>OS CPI post book</t>
        </is>
      </c>
      <c r="C5" t="inlineStr">
        <is>
          <t>FACT</t>
        </is>
      </c>
      <c r="D5" t="inlineStr">
        <is>
          <t>10/14 周三</t>
        </is>
      </c>
    </row>
    <row r="6">
      <c r="A6" t="inlineStr">
        <is>
          <t>Hot PPI; retail headline strong, control group soft; TSMC beat the top of guidance; top-20 global AI/semis shed &gt;$1tn so far this week (CNBC).</t>
        </is>
      </c>
      <c r="B6" t="inlineStr">
        <is>
          <t>OS post books / cn15</t>
        </is>
      </c>
      <c r="C6" t="inlineStr">
        <is>
          <t>FACT</t>
        </is>
      </c>
      <c r="D6" t="inlineStr">
        <is>
          <t>10/15 周四</t>
        </is>
      </c>
    </row>
    <row r="7">
      <c r="A7" t="inlineStr">
        <is>
          <t>Warsh declined to prejudge October → Kalshi Oct hike ~30%→13–15%; Dec ~76–78% unchanged.</t>
        </is>
      </c>
      <c r="B7" t="inlineStr">
        <is>
          <t>cnw / OS Warsh post book</t>
        </is>
      </c>
      <c r="C7" t="inlineStr">
        <is>
          <t>FACT + MARKET-IMPLIED</t>
        </is>
      </c>
      <c r="D7" t="inlineStr">
        <is>
          <t>10/16 周五 SGT</t>
        </is>
      </c>
    </row>
    <row r="8">
      <c r="A8" t="inlineStr">
        <is>
          <t>Nasdaq −2.1%, S&amp;P −1.1%, SOX −3.83%, VIX +~21% to ~20; Brent touched $110 (first since May, Hormuz); CRWV −~12% (&gt;25% for the week). Nasdaq's worst week since late June.</t>
        </is>
      </c>
      <c r="B8" t="inlineStr">
        <is>
          <t>ap / sch / yh</t>
        </is>
      </c>
      <c r="C8" t="inlineStr">
        <is>
          <t>FACT</t>
        </is>
      </c>
      <c r="D8" t="inlineStr">
        <is>
          <t>10/16 周五 US</t>
        </is>
      </c>
    </row>
    <row r="9">
      <c r="A9" t="inlineStr">
        <is>
          <t>reu</t>
        </is>
      </c>
      <c r="B9" t="inlineStr">
        <is>
          <t>https://www.investing.com/news/economy-news/analysisbrutal-session-for-chip-stocks-shows-ai-trade-is-turning-4945597</t>
        </is>
      </c>
      <c r="C9" t="inlineStr">
        <is>
          <t>link</t>
        </is>
      </c>
      <c r="D9" t="inlineStr"/>
    </row>
    <row r="10">
      <c r="A10" t="inlineStr">
        <is>
          <t>cn15</t>
        </is>
      </c>
      <c r="B10" t="inlineStr">
        <is>
          <t>https://www.cnbc.com/2026/10/15/sk-hynix-samsung-softbank-stocks-asia-tech-rout-ai-funding-worries.html</t>
        </is>
      </c>
      <c r="C10" t="inlineStr">
        <is>
          <t>link</t>
        </is>
      </c>
      <c r="D10" t="inlineStr"/>
    </row>
    <row r="11">
      <c r="A11" t="inlineStr">
        <is>
          <t>cnmem</t>
        </is>
      </c>
      <c r="B11" t="inlineStr">
        <is>
          <t>https://www.cnbc.com/2026/10/15/memory-stocks-micron-sk-hynix-samsung-china.html</t>
        </is>
      </c>
      <c r="C11" t="inlineStr">
        <is>
          <t>link</t>
        </is>
      </c>
      <c r="D11" t="inlineStr"/>
    </row>
    <row r="12">
      <c r="A12" t="inlineStr">
        <is>
          <t>cn13</t>
        </is>
      </c>
      <c r="B12" t="inlineStr">
        <is>
          <t>https://www.cnbc.com/2026/10/13/sk-hynix-softbank-samsung-electronics-shares-tech-stocks-fall.html</t>
        </is>
      </c>
      <c r="C12" t="inlineStr">
        <is>
          <t>link</t>
        </is>
      </c>
      <c r="D12" t="inlineStr"/>
    </row>
    <row r="13">
      <c r="A13" t="inlineStr">
        <is>
          <t>sch</t>
        </is>
      </c>
      <c r="B13" t="inlineStr">
        <is>
          <t>https://schwabnetwork.com/articles/closing-bell-ai-selloff-deepens-as-chip-stocks-slide-and-volatility-surges</t>
        </is>
      </c>
      <c r="C13" t="inlineStr">
        <is>
          <t>link</t>
        </is>
      </c>
      <c r="D13" t="inlineStr"/>
    </row>
    <row r="14">
      <c r="A14" t="inlineStr">
        <is>
          <t>ap</t>
        </is>
      </c>
      <c r="B14" t="inlineStr">
        <is>
          <t>https://apnews.com/article/stocks-markets-us-ai-oil-tech-warsh-d2655f64db7ec8ae450525d58f97b628</t>
        </is>
      </c>
      <c r="C14" t="inlineStr">
        <is>
          <t>link</t>
        </is>
      </c>
      <c r="D14" t="inlineStr"/>
    </row>
    <row r="15">
      <c r="A15" t="inlineStr">
        <is>
          <t>yh</t>
        </is>
      </c>
      <c r="B15" t="inlineStr">
        <is>
          <t>https://finance.yahoo.com/markets/live/stock-market-today-dow-sp-500-nasdaq-futures-mixed-amid-volatile-week-112939401.html</t>
        </is>
      </c>
      <c r="C15" t="inlineStr">
        <is>
          <t>link</t>
        </is>
      </c>
      <c r="D15" t="inlineStr"/>
    </row>
    <row r="16">
      <c r="A16" t="inlineStr">
        <is>
          <t>cnw</t>
        </is>
      </c>
      <c r="B16" t="inlineStr">
        <is>
          <t>https://www.cnbc.com/2026/10/16/feds-warsh-says-ai-development-path-will-be-very-bumpy-.html</t>
        </is>
      </c>
      <c r="C16" t="inlineStr">
        <is>
          <t>link</t>
        </is>
      </c>
      <c r="D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</t>
        </is>
      </c>
    </row>
    <row r="2">
      <c r="A2" t="n">
        <v>1</v>
      </c>
      <c r="B2" t="inlineStr">
        <is>
          <t>De-rating = multiple/positioning, not EPS</t>
        </is>
      </c>
      <c r="C2" t="inlineStr">
        <is>
          <t>INFERENCE</t>
        </is>
      </c>
      <c r="D2" t="inlineStr">
        <is>
          <t>FY27 EPS cuts</t>
        </is>
      </c>
    </row>
    <row r="3">
      <c r="A3" t="n">
        <v>2</v>
      </c>
      <c r="B3" t="inlineStr">
        <is>
          <t>Stress in credit spreads/financing, not Treasury yields (10Y -15bp this week)</t>
        </is>
      </c>
      <c r="C3" t="inlineStr">
        <is>
          <t>INFERENCE</t>
        </is>
      </c>
      <c r="D3" t="inlineStr">
        <is>
          <t>HY spreads tighten, AI keeps falling</t>
        </is>
      </c>
    </row>
    <row r="4">
      <c r="A4" t="n">
        <v>3</v>
      </c>
      <c r="B4" t="inlineStr">
        <is>
          <t>Memory drop = CXMT + oversupply narrative</t>
        </is>
      </c>
      <c r="C4" t="inlineStr">
        <is>
          <t>INFERENCE</t>
        </is>
      </c>
      <c r="D4" t="inlineStr">
        <is>
          <t>DRAM contract price cuts</t>
        </is>
      </c>
    </row>
    <row r="5">
      <c r="A5" t="n">
        <v>4</v>
      </c>
      <c r="B5" t="inlineStr">
        <is>
          <t>Equal-weight small theme baskets</t>
        </is>
      </c>
      <c r="C5" t="inlineStr">
        <is>
          <t>ASSUMPTION</t>
        </is>
      </c>
      <c r="D5" t="inlineStr">
        <is>
          <t>expand constituents</t>
        </is>
      </c>
    </row>
    <row r="6">
      <c r="A6" t="n">
        <v>5</v>
      </c>
      <c r="B6" t="inlineStr">
        <is>
          <t>Next-week earnings dates</t>
        </is>
      </c>
      <c r="C6" t="inlineStr">
        <is>
          <t>TENTATIVE</t>
        </is>
      </c>
      <c r="D6" t="inlineStr">
        <is>
          <t>company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2026-10-17T00:07:31Z</dcterms:created>
  <dcterms:modified xmlns:dcterms="http://purl.org/dc/terms/" xmlns:xsi="http://www.w3.org/2001/XMLSchema-instance" xsi:type="dcterms:W3CDTF">2026-10-17T00:07:31Z</dcterms:modified>
</cp:coreProperties>
</file>